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  <extLst>
    <ext uri="GoogleSheetsCustomDataVersion2">
      <go:sheetsCustomData xmlns:go="http://customooxmlschemas.google.com/" r:id="rId6" roundtripDataChecksum="JypMVyz3+1xMzxV9zbFbBugiOZla7YomGe7b+T8/cas="/>
    </ext>
  </extLst>
</workbook>
</file>

<file path=xl/sharedStrings.xml><?xml version="1.0" encoding="utf-8"?>
<sst xmlns="http://schemas.openxmlformats.org/spreadsheetml/2006/main" count="1631" uniqueCount="1192">
  <si>
    <t>PACIENTE</t>
  </si>
  <si>
    <t>TRATAMIENTOS</t>
  </si>
  <si>
    <t>PAGO TOTAL</t>
  </si>
  <si>
    <t>EFECTIVO</t>
  </si>
  <si>
    <t>TARJETA</t>
  </si>
  <si>
    <t>Transferencia</t>
  </si>
  <si>
    <t>TTO. MÉDICO</t>
  </si>
  <si>
    <t>TTO. ESTÉTICO</t>
  </si>
  <si>
    <t>COSMÉTICA</t>
  </si>
  <si>
    <t xml:space="preserve">Total mensual </t>
  </si>
  <si>
    <t>Efe mensual</t>
  </si>
  <si>
    <t>Tarjeta mensual</t>
  </si>
  <si>
    <t>Transferencia mensual</t>
  </si>
  <si>
    <t>Total mensual</t>
  </si>
  <si>
    <t>transferencia</t>
  </si>
  <si>
    <t>Total Anual</t>
  </si>
  <si>
    <t>Gádor Robles Olivencia</t>
  </si>
  <si>
    <t xml:space="preserve"> 1ª Sesión Deep Slim Abdominal</t>
  </si>
  <si>
    <t>Mes</t>
  </si>
  <si>
    <t>Efe</t>
  </si>
  <si>
    <t>Tar</t>
  </si>
  <si>
    <t>Trans</t>
  </si>
  <si>
    <t>José Antonio vidal Gutierrez</t>
  </si>
  <si>
    <t>Reserva quirúrgica (blefaroplastia superior e inferior (800)</t>
  </si>
  <si>
    <t>Enero</t>
  </si>
  <si>
    <t>TOTAL</t>
  </si>
  <si>
    <t>Febrero</t>
  </si>
  <si>
    <t>Rosalía Espinosa López</t>
  </si>
  <si>
    <t>Sesión forma facial</t>
  </si>
  <si>
    <t>Marzo</t>
  </si>
  <si>
    <t>Francisco Javier Moreno Godoy</t>
  </si>
  <si>
    <t>1ª sesión deep Slim abdomen</t>
  </si>
  <si>
    <t xml:space="preserve">Abril </t>
  </si>
  <si>
    <t>17023.92</t>
  </si>
  <si>
    <t>María José Villegas Cara</t>
  </si>
  <si>
    <t xml:space="preserve">Mayo </t>
  </si>
  <si>
    <t>Junio</t>
  </si>
  <si>
    <t>Maria Pelegrina Vitoria</t>
  </si>
  <si>
    <t>1ª sesión exosomas capilares + dermapenblue (-100)</t>
  </si>
  <si>
    <t>Julio</t>
  </si>
  <si>
    <t>María Felisa Blanco Lirola</t>
  </si>
  <si>
    <t>2ª sesión plasma</t>
  </si>
  <si>
    <t>Agosto</t>
  </si>
  <si>
    <t xml:space="preserve">Isabel María Ortega </t>
  </si>
  <si>
    <t>Econess</t>
  </si>
  <si>
    <t>Septiembre</t>
  </si>
  <si>
    <t>Octubre</t>
  </si>
  <si>
    <t>2ª sesión deep Slim abdomen</t>
  </si>
  <si>
    <t>Noviembre</t>
  </si>
  <si>
    <t>Francisco Maleno Sanchez</t>
  </si>
  <si>
    <t>Extirpación quiste espalda + plexr nariz</t>
  </si>
  <si>
    <t>Diciembre</t>
  </si>
  <si>
    <t>Eva María Mellado López</t>
  </si>
  <si>
    <t>DERMAPEN FACIAL</t>
  </si>
  <si>
    <t>Mónica Sánchez Oliver</t>
  </si>
  <si>
    <t>7º sesión deep slim</t>
  </si>
  <si>
    <t>Maria Luisa Milán Rueda</t>
  </si>
  <si>
    <t>1ª sesión MorpheusV (400) + 3ª sesión Morpheus facial (500)</t>
  </si>
  <si>
    <t>(350) Morpheus Abd + crema de exosomas (100)</t>
  </si>
  <si>
    <t>Patricia Carolina Herrera Moreno</t>
  </si>
  <si>
    <t>1ª sesión Morpheus Facial (450) -50 por marido en club nautico</t>
  </si>
  <si>
    <t>Eva Vargas González</t>
  </si>
  <si>
    <t>5ª sesión forma</t>
  </si>
  <si>
    <t>Maria Claudia Fordui</t>
  </si>
  <si>
    <t>Peeling de exosomas (125) + relleno de labios (350)</t>
  </si>
  <si>
    <t>Total</t>
  </si>
  <si>
    <t>Paqui Arcos Escobar</t>
  </si>
  <si>
    <t>Blefaroplastia superior + pexia de cejas</t>
  </si>
  <si>
    <t xml:space="preserve">JOSE ANTONIO VIDAL GUTIERREZ </t>
  </si>
  <si>
    <t xml:space="preserve">Blefaroplastia superior + inferior </t>
  </si>
  <si>
    <t>Maribel Arroyo Morajas</t>
  </si>
  <si>
    <t>1er pago blefaroplastia superior (resrv, quirurg)</t>
  </si>
  <si>
    <t>Charo Salmerón Rodríguez</t>
  </si>
  <si>
    <t>1 vial a.h pómulo</t>
  </si>
  <si>
    <t>María Teresa Morata Pérez</t>
  </si>
  <si>
    <t>2 viales en pómulo  + redensity ojera</t>
  </si>
  <si>
    <t>Ana Belén Vladivia Escobar</t>
  </si>
  <si>
    <t>Restante de bono de mesoterapia + restante de exosomas</t>
  </si>
  <si>
    <t xml:space="preserve">MARIBEL ARROYO MORAGAS
</t>
  </si>
  <si>
    <t>2º pago blefaroplastia</t>
  </si>
  <si>
    <t>ANA BELÉN MORILLAS MARTIN</t>
  </si>
  <si>
    <t>2ª SESIÓN DUO LABIOS + 1ª SESIÓN HYAL SYSTEM</t>
  </si>
  <si>
    <t>2ª Pago Bodytite abdomen</t>
  </si>
  <si>
    <t>TOTAL :</t>
  </si>
  <si>
    <t>Marta Guiterrez Gómez</t>
  </si>
  <si>
    <t>10ª sesión Forma Facial (100) + crema profhilo (60)</t>
  </si>
  <si>
    <t>Reserva quirúrgica (1500) + faja (100)</t>
  </si>
  <si>
    <t>Marisol Navarro Ramirez</t>
  </si>
  <si>
    <t xml:space="preserve">sesión deep slim </t>
  </si>
  <si>
    <t>Encarnación Moreno Muñoz</t>
  </si>
  <si>
    <t xml:space="preserve">1ª sesión deep slim brazos </t>
  </si>
  <si>
    <t>Carolina María Rodríguez</t>
  </si>
  <si>
    <t>2ª sesión deep slim pecho (2 manípulos)</t>
  </si>
  <si>
    <t xml:space="preserve"> </t>
  </si>
  <si>
    <t>María Pelegrina Vitoria</t>
  </si>
  <si>
    <t>Sesión extra exosomas capilares + dermapen blue</t>
  </si>
  <si>
    <t>Natalia Nagula</t>
  </si>
  <si>
    <t xml:space="preserve">3ª sesión Morpheus facial </t>
  </si>
  <si>
    <t>Gabriela Nutilescu</t>
  </si>
  <si>
    <t>2 viales a.h. temporal</t>
  </si>
  <si>
    <t>Eva María Maldonado Maldonado</t>
  </si>
  <si>
    <t xml:space="preserve">2ª sesión Morpheus Facial </t>
  </si>
  <si>
    <t xml:space="preserve">1ª sesión Morpheus Corporal abdomen </t>
  </si>
  <si>
    <t xml:space="preserve">Esther Simón Simón </t>
  </si>
  <si>
    <t>plexr</t>
  </si>
  <si>
    <t>MARTA GUTIÉRREZ GÓMEZ</t>
  </si>
  <si>
    <t>profhilo cara</t>
  </si>
  <si>
    <t>Carolina Rodríguez</t>
  </si>
  <si>
    <t>2ª sesión deep slim sureola (sólo manípulo grande)</t>
  </si>
  <si>
    <t>Lola Pérez Antequera</t>
  </si>
  <si>
    <t>Bodytite Abdomen superior e inferior</t>
  </si>
  <si>
    <t xml:space="preserve">Marzo </t>
  </si>
  <si>
    <t xml:space="preserve">Yolanda ROMERO GARCIA </t>
  </si>
  <si>
    <t>BOTOX (-50 por Club Náutico)</t>
  </si>
  <si>
    <t>Bodytite abdomen superior + inferior + interior de los muslos</t>
  </si>
  <si>
    <t xml:space="preserve"> Daniel Saez DESYATKOV</t>
  </si>
  <si>
    <t>Plexr en verruga dedo índice</t>
  </si>
  <si>
    <t>Rosana Arcos Escobar</t>
  </si>
  <si>
    <t>Segunda sesión Morpheus facial y cuello</t>
  </si>
  <si>
    <t>total</t>
  </si>
  <si>
    <t xml:space="preserve">Mercedes Fernández Herrera </t>
  </si>
  <si>
    <t>Bótox</t>
  </si>
  <si>
    <t>Anastasiia Milshtein</t>
  </si>
  <si>
    <t>1º bótox</t>
  </si>
  <si>
    <t>Inmaculada Sánchez Martín</t>
  </si>
  <si>
    <t xml:space="preserve">Paqui Arcos Escobar </t>
  </si>
  <si>
    <t>Duo peribucal (280)</t>
  </si>
  <si>
    <t>Pilar María Capel Lázaro</t>
  </si>
  <si>
    <t>1ª sesión Morpheus Abdomen sup + inf</t>
  </si>
  <si>
    <t>Eva María Mellado</t>
  </si>
  <si>
    <t xml:space="preserve">Peeling de exosomas facial </t>
  </si>
  <si>
    <t>Kirenia Lozada Carballosa</t>
  </si>
  <si>
    <t>1ª sesión de exosomas despigmentantes + dermapen4</t>
  </si>
  <si>
    <t xml:space="preserve">Antonio Jesus Asensio Manzano </t>
  </si>
  <si>
    <t>1ª sesión plasma rico en plaquetas + dermapenblue</t>
  </si>
  <si>
    <t>Carolina Maria Rodriguez Fernández</t>
  </si>
  <si>
    <t xml:space="preserve">3ª sesión deep slim aureolas </t>
  </si>
  <si>
    <t>Josefina Ibañez Ferrer</t>
  </si>
  <si>
    <t xml:space="preserve">Marga Prieto </t>
  </si>
  <si>
    <t>demapen</t>
  </si>
  <si>
    <t>MIRIAM LARECH</t>
  </si>
  <si>
    <t>1ª sesión Morpheus facial</t>
  </si>
  <si>
    <t>1ª sesión Morpheus8 tercio inferior + cuello</t>
  </si>
  <si>
    <t>Maria Isabel Villegas Cara</t>
  </si>
  <si>
    <t>2 VIALES a.h. aliaxin sv  (-100€ vial) (Debe 250)</t>
  </si>
  <si>
    <t>Celia Rodríguez Tarifa</t>
  </si>
  <si>
    <t xml:space="preserve">Bioestimulación hyal system </t>
  </si>
  <si>
    <t xml:space="preserve">María Gongora Vicente </t>
  </si>
  <si>
    <t xml:space="preserve">1ª sesion Morpheus facial </t>
  </si>
  <si>
    <t xml:space="preserve">Vanesa López Mora </t>
  </si>
  <si>
    <t>2ª sesión exosomas faciales + dermapen4</t>
  </si>
  <si>
    <t>1ª sesión vTone + tone</t>
  </si>
  <si>
    <t xml:space="preserve">100 euros en negro </t>
  </si>
  <si>
    <t>Efectivo</t>
  </si>
  <si>
    <t>tarjeta</t>
  </si>
  <si>
    <t>Susana López Sánchez</t>
  </si>
  <si>
    <t xml:space="preserve">1ª sesión deep slim muslos completos </t>
  </si>
  <si>
    <t>SUSANA RODRÍGUEZ FERNÁNDEZ</t>
  </si>
  <si>
    <t>1er vial hialurónico</t>
  </si>
  <si>
    <t>2ª sesión morpheus rollitos e interior de los muslos (700) + crema de exosomas (100)</t>
  </si>
  <si>
    <t>YOLANDA DÍAZ SÁNCHEZ</t>
  </si>
  <si>
    <t>1ª SES DEEP SLIM PIERNAS + ROSTRO</t>
  </si>
  <si>
    <t>veronica milan mignoranCE</t>
  </si>
  <si>
    <t>2ª SESIÓN ESCLERO</t>
  </si>
  <si>
    <t xml:space="preserve">Gema Bonilla Rubio </t>
  </si>
  <si>
    <t>BÓTOX</t>
  </si>
  <si>
    <t>Bioestimulación labios 1ª sesión</t>
  </si>
  <si>
    <t xml:space="preserve">Regina SKREBKOVA </t>
  </si>
  <si>
    <t>1ª sesión Morpheus facial + abdomen</t>
  </si>
  <si>
    <t>Javier Herrera Villegas</t>
  </si>
  <si>
    <t>Plexr verrugas y puntos rubí espalda, nuca y tórax</t>
  </si>
  <si>
    <t xml:space="preserve">Tamara Reyes Alonso </t>
  </si>
  <si>
    <t>Peeling de exosomas</t>
  </si>
  <si>
    <t>Carmen Rodríguez Sáez</t>
  </si>
  <si>
    <t>sesión deep slim cicatriz brazos</t>
  </si>
  <si>
    <t>Alicia Orihuela Cózar</t>
  </si>
  <si>
    <t>bótox</t>
  </si>
  <si>
    <t>1ª sesión exosomas despigmentantes + dermapen blue</t>
  </si>
  <si>
    <t xml:space="preserve">Purificación Palmero Aranda. </t>
  </si>
  <si>
    <t>1ª sesión deep slim cartuchera fibroma</t>
  </si>
  <si>
    <t>Alexandra Alptova Caliechon</t>
  </si>
  <si>
    <t>econess (60 --&gt; gratuita) + hialurodinasa</t>
  </si>
  <si>
    <t>María Belén Rodríguez Torres</t>
  </si>
  <si>
    <t>1ª sesión vtone (200) + tone (60€ regalo)</t>
  </si>
  <si>
    <t>Susana Sánchez López</t>
  </si>
  <si>
    <t>1ª sesión Morpheus Muslos completos</t>
  </si>
  <si>
    <t>Santiago Yagüe López</t>
  </si>
  <si>
    <t>3ª sesión morpheus facial + cuello</t>
  </si>
  <si>
    <t>Cristina Atehortua Tapasco</t>
  </si>
  <si>
    <t>2ª sesión Morpheus facia + cuello + frente</t>
  </si>
  <si>
    <t>Maribel Garrido Clares</t>
  </si>
  <si>
    <t>Vial Radiesse tercio inferior</t>
  </si>
  <si>
    <t xml:space="preserve">10 sesión forma facial </t>
  </si>
  <si>
    <t>Mariluz Salmerón Ramos</t>
  </si>
  <si>
    <t>1er deep slim facial cicatrices</t>
  </si>
  <si>
    <t>1er vial duo peribucal</t>
  </si>
  <si>
    <t>Patricia Carolina Herrero Moreno</t>
  </si>
  <si>
    <t>2ª sesión Morpheus Facial + cuello</t>
  </si>
  <si>
    <t>Maribel Rodríguez Rodríguez</t>
  </si>
  <si>
    <t>1ª sesión DEEP SLIM ABDOMEN + CARTUCHERAS</t>
  </si>
  <si>
    <t>Araceli Romero Figueroa</t>
  </si>
  <si>
    <t>1ª sesión Profhilo body</t>
  </si>
  <si>
    <t>2ª sesión Morpheusv + Tone</t>
  </si>
  <si>
    <t>Purificación Palmero Aranda</t>
  </si>
  <si>
    <t>1º sesión Tone + Vtone</t>
  </si>
  <si>
    <t>Diego Jesús Reyes Ortiz</t>
  </si>
  <si>
    <t>1ª! sesión exosomas (debe 100)</t>
  </si>
  <si>
    <t>María Isabel Cobo Baños</t>
  </si>
  <si>
    <t>1ª sesión morpheus cuello (500). + DUO PERIBUCAL (300)</t>
  </si>
  <si>
    <t>María Isabel medina cobo (hija)</t>
  </si>
  <si>
    <t xml:space="preserve"> Eco + hialurodinasa + dermapen</t>
  </si>
  <si>
    <t>Charo López Sánchez</t>
  </si>
  <si>
    <t>1ª sesión peeling de exosomas</t>
  </si>
  <si>
    <t>encarnacion moreno muñoz</t>
  </si>
  <si>
    <t>- 2º sesión deepslim brazos</t>
  </si>
  <si>
    <t>1ª sesión dermapen facial cicatrices y marcas de acné</t>
  </si>
  <si>
    <t>Sesión deep slim abdomen completo (250) + flancos (150)</t>
  </si>
  <si>
    <t>Emilia Rubi Martos</t>
  </si>
  <si>
    <t>1ª sesión Bótox</t>
  </si>
  <si>
    <t>Vial Bótox</t>
  </si>
  <si>
    <t>Susana Rodríguez Fernández</t>
  </si>
  <si>
    <t>2º Vial A.H.</t>
  </si>
  <si>
    <t xml:space="preserve">MARTA GUTIÉRREZ GÓMEZ </t>
  </si>
  <si>
    <t>12 sesión Forma</t>
  </si>
  <si>
    <t xml:space="preserve">María Pelegrina Vitoria </t>
  </si>
  <si>
    <t>3ª sesión PRP</t>
  </si>
  <si>
    <t>Ana Belen Valdivia Escobar</t>
  </si>
  <si>
    <t>4ª sesión exosomas capilares (conmutados por el bono de MESOTERAPIA YA ABONADO</t>
  </si>
  <si>
    <t>1ª sesión Morpheus interior de los muslos (Pr. Esp.) (-100€)</t>
  </si>
  <si>
    <t>Demelsa Perea Marín</t>
  </si>
  <si>
    <t>Reserva Quirúrgica Bodytite abdomen + flancos + faja</t>
  </si>
  <si>
    <t>Encarnación Sánchez García</t>
  </si>
  <si>
    <t xml:space="preserve">1ª sesión deep slim muslos completos. </t>
  </si>
  <si>
    <t>Purificación Palmero Aranda.</t>
  </si>
  <si>
    <t>2ª sesión deep slim cartuchera (fibrosis)</t>
  </si>
  <si>
    <t>Maribel Fernández Férnandez</t>
  </si>
  <si>
    <t>1ª Morpheus abdomen (600) + 2 rellenos de a.h. (630) + dermapen</t>
  </si>
  <si>
    <t xml:space="preserve">Maribel  Hernández Salmeron </t>
  </si>
  <si>
    <t>Bioestimulación acp (350)</t>
  </si>
  <si>
    <t xml:space="preserve">Total: </t>
  </si>
  <si>
    <t>DEMELSA PEREA MARÍN</t>
  </si>
  <si>
    <t>Bodytite Abdomen + cartucheras</t>
  </si>
  <si>
    <t>vTone (200) + tone (gratis)</t>
  </si>
  <si>
    <t xml:space="preserve">2ª ses morpheus </t>
  </si>
  <si>
    <t>Víctor Blanco Pelegrina</t>
  </si>
  <si>
    <t>2ª SESIÓN EXOSOMAS CAPILARES + DERMAPEN BLUE (350 -100 DESC= 250)</t>
  </si>
  <si>
    <t xml:space="preserve">Total </t>
  </si>
  <si>
    <t>Susana Gómez Finnet</t>
  </si>
  <si>
    <t xml:space="preserve">1 vial a.h </t>
  </si>
  <si>
    <t xml:space="preserve">Profilo cuello y escote ( + dermapen </t>
  </si>
  <si>
    <t>Tamara Reyes Alonso</t>
  </si>
  <si>
    <t>RELLENO LABIOS</t>
  </si>
  <si>
    <t>Manuel José Torrecillas Montoya</t>
  </si>
  <si>
    <t>1 VIAL BÓTOX</t>
  </si>
  <si>
    <t xml:space="preserve">Gádor Robles Olivencia </t>
  </si>
  <si>
    <t>1 VIAL BOTOX</t>
  </si>
  <si>
    <t>Antonio Puertas Rubí</t>
  </si>
  <si>
    <t xml:space="preserve">Sonia Ferrer </t>
  </si>
  <si>
    <t>reserva blefa sup</t>
  </si>
  <si>
    <t xml:space="preserve">Marisol Navarro </t>
  </si>
  <si>
    <t>sesión en deep slim rodilla</t>
  </si>
  <si>
    <t xml:space="preserve">Camen Fernández </t>
  </si>
  <si>
    <t>Deep slim cicatriz en brazos</t>
  </si>
  <si>
    <t>efe</t>
  </si>
  <si>
    <t>tar</t>
  </si>
  <si>
    <t>Tran</t>
  </si>
  <si>
    <t>Filomena López López</t>
  </si>
  <si>
    <t xml:space="preserve">reserva tto párpado superior e inferior </t>
  </si>
  <si>
    <t xml:space="preserve">Yolanda Díaz Sánchez 
</t>
  </si>
  <si>
    <t>3ª DEEP SLIM+ PIERNAS (250)</t>
  </si>
  <si>
    <t xml:space="preserve">Maria Isabel Villegas Cara </t>
  </si>
  <si>
    <t>vial a.h. pendiente + dúo a 250 (-50) que deja a deber</t>
  </si>
  <si>
    <t>Maria José Vallecillos Vallecillos</t>
  </si>
  <si>
    <t xml:space="preserve">Duo peribucal  + facial </t>
  </si>
  <si>
    <t>Carmen González Sánchez</t>
  </si>
  <si>
    <t>Duo facial( 300) +  colageno (50)</t>
  </si>
  <si>
    <t xml:space="preserve">Josefina Ibañez Ferrer </t>
  </si>
  <si>
    <t>3ª sesión Morpheus facial y cuello (500) + energyflex (40)</t>
  </si>
  <si>
    <t>Encarnacion  Moreno Muno</t>
  </si>
  <si>
    <t>3º sesion deep slim</t>
  </si>
  <si>
    <t>Ángela Cara Barbero</t>
  </si>
  <si>
    <t>1 vial bótox</t>
  </si>
  <si>
    <t>Regina SKREBKOVA</t>
  </si>
  <si>
    <t>1 vial bioestimulación periocular + morpheus abdomen + flancos</t>
  </si>
  <si>
    <t xml:space="preserve">4ª sesión morpheus facial + cuello </t>
  </si>
  <si>
    <t xml:space="preserve">1ª sesión dermapen facial </t>
  </si>
  <si>
    <t xml:space="preserve">hyal acp facial </t>
  </si>
  <si>
    <t>Carmen Figueroa González</t>
  </si>
  <si>
    <t xml:space="preserve">dermapen senos + plexr dedo índice </t>
  </si>
  <si>
    <t xml:space="preserve">1ª sesión Morpheusv </t>
  </si>
  <si>
    <t>3ª MORPHEUS EN ROLLITO DE SUJETADOR E INT MUSLOS (700) + CREMA DE EXOSOMAS (100)</t>
  </si>
  <si>
    <t>Alfonso López Ramírez</t>
  </si>
  <si>
    <t>plexr cuero cabelludo (100--&gt; regalo) + acp cuero cabelludo (300)</t>
  </si>
  <si>
    <t>Charo Perez Alcoba</t>
  </si>
  <si>
    <t xml:space="preserve">bótox </t>
  </si>
  <si>
    <t>Aleksandra Alpatova</t>
  </si>
  <si>
    <t xml:space="preserve">relleno a.h. labio </t>
  </si>
  <si>
    <t>vtone (200) + tone (60 gratis)</t>
  </si>
  <si>
    <t>Antonio Jesús Asensio Manzano</t>
  </si>
  <si>
    <t>2ª sesión exosomas capilares + dermapen blue</t>
  </si>
  <si>
    <t>3ª sesión peeling de exosomas</t>
  </si>
  <si>
    <t>Ana Villegas</t>
  </si>
  <si>
    <t>Bocouture 2 viales 50 ud</t>
  </si>
  <si>
    <t>Hanan Chouni Tayeb</t>
  </si>
  <si>
    <t>1ª ses prp facial + dermapen</t>
  </si>
  <si>
    <t>Isabel María Ortega</t>
  </si>
  <si>
    <t>hialurodinasa + monitorización</t>
  </si>
  <si>
    <t>MARTA GUTIÉRREZ GÓMEZ -</t>
  </si>
  <si>
    <t xml:space="preserve">Forma facial </t>
  </si>
  <si>
    <t>duo peribucal (-50)</t>
  </si>
  <si>
    <t>Esther Simón Simón</t>
  </si>
  <si>
    <t xml:space="preserve">Plexr espalda </t>
  </si>
  <si>
    <t>María José García García</t>
  </si>
  <si>
    <t>Colágeno</t>
  </si>
  <si>
    <r>
      <rPr>
        <rFont val="&quot;Google Sans&quot;, Roboto, Arial, sans-serif"/>
        <color rgb="FF3C4043"/>
        <sz val="9.0"/>
      </rPr>
      <t>Mariluz Salmerón Ramos</t>
    </r>
    <r>
      <rPr>
        <rFont val="&quot;Google Sans&quot;, Roboto, Arial, sans-serif"/>
        <color rgb="FF3C4043"/>
        <sz val="17.0"/>
      </rPr>
      <t xml:space="preserve"> </t>
    </r>
  </si>
  <si>
    <t xml:space="preserve">retoque bótox (0) +  duo peribucal (300) </t>
  </si>
  <si>
    <t>1 vial a.h.</t>
  </si>
  <si>
    <t xml:space="preserve">2ª sesión de exosomas </t>
  </si>
  <si>
    <t xml:space="preserve">2ª sesión Morpheusv </t>
  </si>
  <si>
    <t>Profhilo + bótox</t>
  </si>
  <si>
    <t xml:space="preserve">Rafaela González Seco </t>
  </si>
  <si>
    <t>reservas quirúrgica blef superior</t>
  </si>
  <si>
    <t>Aurora Quevedo Pérez</t>
  </si>
  <si>
    <t>reserva quirúrgica bodytite</t>
  </si>
  <si>
    <t>3ª morpheus abdomen + cartucheras</t>
  </si>
  <si>
    <t>María García Valdivia</t>
  </si>
  <si>
    <t xml:space="preserve">1ª sesión Morpheus facial + cuello </t>
  </si>
  <si>
    <t xml:space="preserve">duo peribucal </t>
  </si>
  <si>
    <t xml:space="preserve">1ª sesión Morpheus Muslos </t>
  </si>
  <si>
    <t xml:space="preserve">Yolanda Díaz Sánchez </t>
  </si>
  <si>
    <t>3ª sesión deep slim piernas completas</t>
  </si>
  <si>
    <t>Carmen Fernández Villegas</t>
  </si>
  <si>
    <t xml:space="preserve">1ª sesión deep slim brazos linfedema </t>
  </si>
  <si>
    <t xml:space="preserve">María jose Berenguel Rodríguez </t>
  </si>
  <si>
    <t>Blefaroplastia superior e inferior reserva 50%</t>
  </si>
  <si>
    <t>Sonia Ferrer Tesoro</t>
  </si>
  <si>
    <t>Blefaroplastia superior</t>
  </si>
  <si>
    <t>Encarna Vazquez Vicente Paciente</t>
  </si>
  <si>
    <t>relleno de a.h.</t>
  </si>
  <si>
    <t xml:space="preserve">BÓTOX </t>
  </si>
  <si>
    <t>Beatriz Blanco Tarifa</t>
  </si>
  <si>
    <t>Francisca Fernandez menuñoz</t>
  </si>
  <si>
    <t xml:space="preserve">reserva acutite en festón malar + duo peribucal </t>
  </si>
  <si>
    <t>retoque Relleno de labios + 2º vial</t>
  </si>
  <si>
    <t xml:space="preserve">exosomas + dermapen blue (300) + 100 adeudados + máscara de led </t>
  </si>
  <si>
    <t>Manuel González López</t>
  </si>
  <si>
    <t xml:space="preserve">1 vial radiesse </t>
  </si>
  <si>
    <t xml:space="preserve">LOLI MARTIN SOTO </t>
  </si>
  <si>
    <t xml:space="preserve">1 VIAL A.H. EN PÓMULOS </t>
  </si>
  <si>
    <t>Silvia Gutierrez Cobo</t>
  </si>
  <si>
    <t xml:space="preserve">1 VIAL BÓTOX </t>
  </si>
  <si>
    <t xml:space="preserve">3ª SESIÓN MORPHEUS FACIAL + CUELLO </t>
  </si>
  <si>
    <t>Buensuceso Guzmán Roa</t>
  </si>
  <si>
    <t>1 vial a.h pómulos + 1er vial DUO + colágeno (40) + energycell (35)</t>
  </si>
  <si>
    <t xml:space="preserve">Mónica Romera Fernández </t>
  </si>
  <si>
    <t>RESERVA BLEFAROPLASTIA SUPERIOR + INFERIOR + cejaplastia (no reservada)</t>
  </si>
  <si>
    <t>lola pérez antequera</t>
  </si>
  <si>
    <t>1 vial a.h pómulos</t>
  </si>
  <si>
    <t>susana gomez finett</t>
  </si>
  <si>
    <t xml:space="preserve">morpheus facial + cuello </t>
  </si>
  <si>
    <t>500-</t>
  </si>
  <si>
    <t>marta gutierrez gómez</t>
  </si>
  <si>
    <t>exsomas capilares (300) + mesoterapia de vitaminas (80)</t>
  </si>
  <si>
    <t xml:space="preserve">2º duo peribucal </t>
  </si>
  <si>
    <t>22/04/2024Lunes</t>
  </si>
  <si>
    <t>blefaroplastia superior + inferior</t>
  </si>
  <si>
    <t>Mónica Romera Fernández</t>
  </si>
  <si>
    <t xml:space="preserve">María Isabel Medina Cobos </t>
  </si>
  <si>
    <t>relleno de labios (350) + dermapen facial (200)</t>
  </si>
  <si>
    <t>María Isabel Cobos</t>
  </si>
  <si>
    <t>morpheus facial +  cuello</t>
  </si>
  <si>
    <t>Susana López Sáchez</t>
  </si>
  <si>
    <t>deep slim piernas completas (no paga)</t>
  </si>
  <si>
    <t xml:space="preserve">Estefanía Reyes Romera </t>
  </si>
  <si>
    <t>2ª sesión Morpheus muslos completos</t>
  </si>
  <si>
    <t>Silvia Luque Vargas</t>
  </si>
  <si>
    <t>3ª sesión Morpheus facial y cuella (500)+ energycell (35) + collagen (40)</t>
  </si>
  <si>
    <t xml:space="preserve">2ª sesión Morpheus abd sup + inf + oblic </t>
  </si>
  <si>
    <t>Filomena López Lópes</t>
  </si>
  <si>
    <t>un bote de ergycell</t>
  </si>
  <si>
    <t xml:space="preserve">Araceli Romero Figueroa </t>
  </si>
  <si>
    <t>Inma Soriano López</t>
  </si>
  <si>
    <t>botox bruxismo</t>
  </si>
  <si>
    <t>Carmen Oliver Sánchez</t>
  </si>
  <si>
    <t>bótox facial (-150)</t>
  </si>
  <si>
    <t>Ana María López Sánchez</t>
  </si>
  <si>
    <t xml:space="preserve">acp periocular </t>
  </si>
  <si>
    <t>Marta Gutierrez Gñomez</t>
  </si>
  <si>
    <t xml:space="preserve">forma facial </t>
  </si>
  <si>
    <t xml:space="preserve">Eva vargas </t>
  </si>
  <si>
    <t>EFE</t>
  </si>
  <si>
    <t>TARJ</t>
  </si>
  <si>
    <t>TRANSF</t>
  </si>
  <si>
    <t>SALUD</t>
  </si>
  <si>
    <t>ESTÉTICO</t>
  </si>
  <si>
    <t xml:space="preserve">María Francisca Fernández Muñoz 
</t>
  </si>
  <si>
    <t>2ª parte acuttite ojera (900) + duo peribucal (150) + energycell (35)</t>
  </si>
  <si>
    <t xml:space="preserve">Purificación palmero </t>
  </si>
  <si>
    <t>2º pago bodytite (1000) + faja(100)</t>
  </si>
  <si>
    <t>lunwas 29/04/2024</t>
  </si>
  <si>
    <t>Mari Carmen Bautista Pardo</t>
  </si>
  <si>
    <t xml:space="preserve">botox + acp </t>
  </si>
  <si>
    <t>Isabel María Cortes Vargas -</t>
  </si>
  <si>
    <t>1 vial a.h pómulos (300) + 1 vial a.h labios (300) + bótox (300)</t>
  </si>
  <si>
    <t>Luciana Giorgina Sirbu-</t>
  </si>
  <si>
    <t xml:space="preserve"> PRP con dermapen en cicatriz pierna (250)  + a.h efecto lifting (350) + energyflex (40) + ergycell(35)</t>
  </si>
  <si>
    <t>2º dermapen facial con exosomas despigmentantes + crema de exosomas (100)</t>
  </si>
  <si>
    <t>Aleksandra Alpatova-</t>
  </si>
  <si>
    <t xml:space="preserve"> retoque +  Relleno de labios</t>
  </si>
  <si>
    <t>energycell</t>
  </si>
  <si>
    <t>Yolanda Díaz Sánchez</t>
  </si>
  <si>
    <t xml:space="preserve">1 vial a.h + colágeni ergyflex + ergycell </t>
  </si>
  <si>
    <t xml:space="preserve">Natalia Nagula </t>
  </si>
  <si>
    <t xml:space="preserve">1 vial bótox </t>
  </si>
  <si>
    <t>Maribel Hernández Salmeron</t>
  </si>
  <si>
    <t>Raúl (amigo dra)</t>
  </si>
  <si>
    <t>botox (250) + ergyflex(35)</t>
  </si>
  <si>
    <t>bodytite abdomen bajo + flancos</t>
  </si>
  <si>
    <t xml:space="preserve">Purificación Palmero </t>
  </si>
  <si>
    <t>faja (100) + colágeno (40)</t>
  </si>
  <si>
    <t>C.VRR</t>
  </si>
  <si>
    <t xml:space="preserve">New York Clinic </t>
  </si>
  <si>
    <t xml:space="preserve">Ana Belén Ramos Correa </t>
  </si>
  <si>
    <t>1er bótox tercio superior</t>
  </si>
  <si>
    <t xml:space="preserve">Rocío Correa </t>
  </si>
  <si>
    <t>Segunda sesión dermapen</t>
  </si>
  <si>
    <t xml:space="preserve">Alejandro Vargas Jiménez </t>
  </si>
  <si>
    <t>Mercedes Marañes Alcaide</t>
  </si>
  <si>
    <t xml:space="preserve">1er vial a.h pómulos + 1er vial DUO peribucal </t>
  </si>
  <si>
    <t>Total New York Clinic</t>
  </si>
  <si>
    <t>Total New York Clinic + CVR</t>
  </si>
  <si>
    <t>Mayo</t>
  </si>
  <si>
    <t xml:space="preserve">Eva María Maldonado Maldonado </t>
  </si>
  <si>
    <t>Rocio Herrera Bautista</t>
  </si>
  <si>
    <t>reserva bodytite int. muslos + molletillo + abdomen + faja (100) + ergycell(35) + ergyflex (40)</t>
  </si>
  <si>
    <t>Inmaculada González Manzano</t>
  </si>
  <si>
    <t>1ª sesión morpheus abdomen bajo + flancos</t>
  </si>
  <si>
    <t xml:space="preserve">Raquel Escobar Cuadrado </t>
  </si>
  <si>
    <t xml:space="preserve">1ª botox </t>
  </si>
  <si>
    <t>Begoña Vargas Suárez</t>
  </si>
  <si>
    <t xml:space="preserve">1er vial a.h. </t>
  </si>
  <si>
    <t>Encarnacion moreno muñoz</t>
  </si>
  <si>
    <t>4º sesión deep slim</t>
  </si>
  <si>
    <t xml:space="preserve">María Dolores Martín Martín </t>
  </si>
  <si>
    <t>1ª sesión Morpheus brazos + 1 CAJA ERGYFLEX (40)</t>
  </si>
  <si>
    <t xml:space="preserve">Manuel Cravioto Manrique </t>
  </si>
  <si>
    <t>1ª prp capilar 300</t>
  </si>
  <si>
    <t xml:space="preserve">Viviana Alexandra </t>
  </si>
  <si>
    <t xml:space="preserve">Bótox </t>
  </si>
  <si>
    <t xml:space="preserve">sesión forma facial </t>
  </si>
  <si>
    <t xml:space="preserve">Nohaila kadily </t>
  </si>
  <si>
    <t xml:space="preserve"> plexr en lunar nariz y mejilla</t>
  </si>
  <si>
    <t>ELENA FERNÁNDEZ CUADRADO</t>
  </si>
  <si>
    <t xml:space="preserve">1 er Bótox </t>
  </si>
  <si>
    <t>María jose Berenguel Rodríguez</t>
  </si>
  <si>
    <t>1 vial a.h. gabela</t>
  </si>
  <si>
    <t>Rebeca Muñoz Sánchez</t>
  </si>
  <si>
    <t>exosomas + dermapen espalda + ergycell</t>
  </si>
  <si>
    <t>2ª sesión dermapen revisión final bótox + dermapen + exosomas en cicatriz</t>
  </si>
  <si>
    <t>María Medina Morales</t>
  </si>
  <si>
    <t xml:space="preserve">plexr verrugas en ceja + tiranta sujetador + nariz + cara </t>
  </si>
  <si>
    <t>Isabel María Cortes Vargas</t>
  </si>
  <si>
    <t>retoque de e.h en labios + en pómulos + bótox.</t>
  </si>
  <si>
    <t>Mari Ángeles Barranco Sánchez</t>
  </si>
  <si>
    <t>plexr verrugas en frente + nariz + moflete + barbilla</t>
  </si>
  <si>
    <t xml:space="preserve">mary rodríguez Rodríguez </t>
  </si>
  <si>
    <t xml:space="preserve">Dermapen + acp </t>
  </si>
  <si>
    <t xml:space="preserve">Eva Vargas González </t>
  </si>
  <si>
    <t>retoque bótox (debía 50)</t>
  </si>
  <si>
    <t xml:space="preserve">2ª sesión Morpheus muslos </t>
  </si>
  <si>
    <t>Mercedes Fernández Herrera</t>
  </si>
  <si>
    <t>Dermapen despigmentante</t>
  </si>
  <si>
    <t xml:space="preserve">profhilo Body + acp facial </t>
  </si>
  <si>
    <t xml:space="preserve">Yolanda Díaz </t>
  </si>
  <si>
    <t xml:space="preserve">Susana Rodríguez Fernández </t>
  </si>
  <si>
    <t>botox frente + barbilla</t>
  </si>
  <si>
    <t>María del Mar López Angüita</t>
  </si>
  <si>
    <t xml:space="preserve">2ª sesión dermapen + retoque Plexr </t>
  </si>
  <si>
    <t xml:space="preserve">Carmen González Sánchez </t>
  </si>
  <si>
    <t>Mesoterapia Revok50</t>
  </si>
  <si>
    <t xml:space="preserve">Amalia García Fernández </t>
  </si>
  <si>
    <t>1ª ses morpheus facial + cuello</t>
  </si>
  <si>
    <t>Jueves09/05/2024</t>
  </si>
  <si>
    <t>Alberto Martínez Cobos</t>
  </si>
  <si>
    <t>extirpación quiste sebáceonariz</t>
  </si>
  <si>
    <t>Mercedes Callejón Lirola</t>
  </si>
  <si>
    <t>1er vial ellansé tercio inferior</t>
  </si>
  <si>
    <t>María Teresa López Rodríguez</t>
  </si>
  <si>
    <t xml:space="preserve">Ana María García Hidalgo </t>
  </si>
  <si>
    <t>hialurodinasa (200) + deep slim facial (50) + deep slim abdomen (150)</t>
  </si>
  <si>
    <t>Marta Gutierrez Gómez</t>
  </si>
  <si>
    <t>13 sesión forma</t>
  </si>
  <si>
    <t>PRP capilar</t>
  </si>
  <si>
    <t xml:space="preserve">2ª sesión prp capilar + VITAMINAS </t>
  </si>
  <si>
    <t>2º DUO peribucal</t>
  </si>
  <si>
    <t>REGINA SKREBKOVA</t>
  </si>
  <si>
    <t>- 1º BOTOX EN AXILA + Viscoderm FRENTE</t>
  </si>
  <si>
    <t>Mari Carmen Rodríguez Rodríguez</t>
  </si>
  <si>
    <t xml:space="preserve">1ª sesión forma FACIAL </t>
  </si>
  <si>
    <t>ÁNGELA García López</t>
  </si>
  <si>
    <t xml:space="preserve">DEUDA </t>
  </si>
  <si>
    <t>CDVR</t>
  </si>
  <si>
    <t>María de la Cabeza Ortiz Serrano NYC</t>
  </si>
  <si>
    <t xml:space="preserve">2ª sesión DUO bioestimulación </t>
  </si>
  <si>
    <t>Rocío Rodríguez Correa</t>
  </si>
  <si>
    <t>Complementos vitamínicos (ergycell) (100) + 2ª sesión acp facial (300)</t>
  </si>
  <si>
    <t xml:space="preserve">Charo </t>
  </si>
  <si>
    <t>TOTAL NEW YORK CLINIC + CVRR</t>
  </si>
  <si>
    <t>sesión forma facial y/o cuello</t>
  </si>
  <si>
    <t>1ª sesión ACP Mejillas</t>
  </si>
  <si>
    <t xml:space="preserve">Kirenia Lozada Carballosa </t>
  </si>
  <si>
    <t>exosomas despigmentanes + dermapen 4 (regalo)</t>
  </si>
  <si>
    <t>Facturación Jueves 16/05/2024</t>
  </si>
  <si>
    <t>Antonio Maleno Maldonado</t>
  </si>
  <si>
    <t>extracción quiste del brazo</t>
  </si>
  <si>
    <t>Ergycell</t>
  </si>
  <si>
    <t>Patricia López Rubí</t>
  </si>
  <si>
    <t>Bótox (300) + ergycell (35) + colágeno (40)</t>
  </si>
  <si>
    <t>Rocío Luque López</t>
  </si>
  <si>
    <t xml:space="preserve">1 vial a.h efecto linfting + duo peribucal </t>
  </si>
  <si>
    <t>Mónica Marín Lores</t>
  </si>
  <si>
    <t>plexr 3 verrugas faciales</t>
  </si>
  <si>
    <t>Nohaila Kadily</t>
  </si>
  <si>
    <t>deuda plexr</t>
  </si>
  <si>
    <t>TAR</t>
  </si>
  <si>
    <t>María José Berenguer Rodríguez</t>
  </si>
  <si>
    <t>2ª pago blefaroplastia superior + inferior</t>
  </si>
  <si>
    <t>Rosario Pérez Carretero</t>
  </si>
  <si>
    <t>2ª pago blefaroplastia superior + inferior2</t>
  </si>
  <si>
    <t xml:space="preserve">Inmaculada Sánchez Martín </t>
  </si>
  <si>
    <t>3ER Duo peribucal</t>
  </si>
  <si>
    <t xml:space="preserve">1ª Bótox </t>
  </si>
  <si>
    <t>Ergycell caps</t>
  </si>
  <si>
    <t>TOTAL CDVRR</t>
  </si>
  <si>
    <t>NYC</t>
  </si>
  <si>
    <t>Rafaela Gonzalez Seco</t>
  </si>
  <si>
    <t>Profhilo body en rostro (600) + Ergyflex (100)</t>
  </si>
  <si>
    <t>Amalia Rodríguez Fernández</t>
  </si>
  <si>
    <t>Bioestimulación Profhilo body en cara cuello y escote + ergyflex</t>
  </si>
  <si>
    <t>TOTAL NYC</t>
  </si>
  <si>
    <t>Total 2085</t>
  </si>
  <si>
    <t>Efe 700</t>
  </si>
  <si>
    <t>Tar  700</t>
  </si>
  <si>
    <t>Aleksandra Alaptova Caliechon</t>
  </si>
  <si>
    <t>3er vial a.h. labios</t>
  </si>
  <si>
    <t>Mesoterapia Alydia (150) + retoque de a.h. +  Duo peribucal (300)</t>
  </si>
  <si>
    <t xml:space="preserve">Rebeca Muñoz Sánchez </t>
  </si>
  <si>
    <t>mesoterapia exosomas + dermapen espalda + péptidos BCN</t>
  </si>
  <si>
    <t>Antonia Parrilla Maldonado</t>
  </si>
  <si>
    <t>Dermapen 4 + mesoterapia de exosomas (350) + duo peribucal (300) n+ ergycel (35)</t>
  </si>
  <si>
    <t>tarj</t>
  </si>
  <si>
    <t xml:space="preserve">3ª sesión Morpheus rostro + cuello </t>
  </si>
  <si>
    <t>María Isabel Medina Cobo</t>
  </si>
  <si>
    <t xml:space="preserve">3er Dermapen facial </t>
  </si>
  <si>
    <t xml:space="preserve">Vanessa López Mora </t>
  </si>
  <si>
    <t xml:space="preserve"> Exosomas + dermapen</t>
  </si>
  <si>
    <t xml:space="preserve">2º pago bótox </t>
  </si>
  <si>
    <t>Ana García Hidalgo</t>
  </si>
  <si>
    <t>Deep Slim facial + forma abdomen + relleno de a.h pómulos (1 vial)</t>
  </si>
  <si>
    <t xml:space="preserve">Duo peribucal </t>
  </si>
  <si>
    <t xml:space="preserve">2º acp facial </t>
  </si>
  <si>
    <t>Isabel Garrido Herrera</t>
  </si>
  <si>
    <t>crema de exosomas (100) + colágeno ergyflex(40)</t>
  </si>
  <si>
    <t>Mari Luz Salmerón Ramos</t>
  </si>
  <si>
    <t xml:space="preserve">dermapen despigmentante con exosomas incidiendo en cicatriz </t>
  </si>
  <si>
    <t>Begoña Vargas Suarez</t>
  </si>
  <si>
    <t xml:space="preserve">rendensity en ojeras (400) + retoque facial </t>
  </si>
  <si>
    <t>María del Carmen Domene Torreblanca</t>
  </si>
  <si>
    <t>Deep Slim muslos (200) + morpheus facial (500)</t>
  </si>
  <si>
    <t xml:space="preserve">Trinidad Romero Figueroa </t>
  </si>
  <si>
    <t xml:space="preserve">1 vial a.h pómulos </t>
  </si>
  <si>
    <t>Tarjeta</t>
  </si>
  <si>
    <t>3ª sesión dermapen despigmentante</t>
  </si>
  <si>
    <t>Nuria Peralta Aranda</t>
  </si>
  <si>
    <t xml:space="preserve"> 1a sesión Morpheus abd. bajo + flancos</t>
  </si>
  <si>
    <t>Cristina López Benavente</t>
  </si>
  <si>
    <t>1 vial a.h. labios</t>
  </si>
  <si>
    <t>1 vial a.h. pómulos</t>
  </si>
  <si>
    <t>Silvia Turnea</t>
  </si>
  <si>
    <t>1 vial a.h. ojera (redensity)</t>
  </si>
  <si>
    <t>1 vial duo peribucal</t>
  </si>
  <si>
    <t>Alicia Villegas Titos</t>
  </si>
  <si>
    <t>Buensuceso Guzman Roa</t>
  </si>
  <si>
    <t>1 vial duo</t>
  </si>
  <si>
    <t xml:space="preserve">Mari Ángeles Barranco Sánchez </t>
  </si>
  <si>
    <t>1 VIAL RADIESSE</t>
  </si>
  <si>
    <t>Exosomas capilares + dermapen</t>
  </si>
  <si>
    <t xml:space="preserve">Kirenia Lozada </t>
  </si>
  <si>
    <t>peeling de exosomas</t>
  </si>
  <si>
    <t>efectivo</t>
  </si>
  <si>
    <t>Maria jose Martin Ruiz</t>
  </si>
  <si>
    <t>1º vial botox</t>
  </si>
  <si>
    <t xml:space="preserve">1º vial acp </t>
  </si>
  <si>
    <t>Encarnación García Ruiz ( Nani)</t>
  </si>
  <si>
    <t xml:space="preserve">1º vial pómulo </t>
  </si>
  <si>
    <t>marisol navarro</t>
  </si>
  <si>
    <t xml:space="preserve">parte de bono </t>
  </si>
  <si>
    <t>Ana Maria Lopez Sanchez</t>
  </si>
  <si>
    <t xml:space="preserve">      viernes 31/05/ 2024</t>
  </si>
  <si>
    <t>Susana Figuera Martin</t>
  </si>
  <si>
    <t>1º vail pómulos</t>
  </si>
  <si>
    <t>patricia lopez rubi</t>
  </si>
  <si>
    <t xml:space="preserve">2º vial acp </t>
  </si>
  <si>
    <t>Gloria Valdivia Fernández</t>
  </si>
  <si>
    <t>reserva quirúrgica</t>
  </si>
  <si>
    <t>Emilia Marín Cruz</t>
  </si>
  <si>
    <t xml:space="preserve">reserva de lipofilling </t>
  </si>
  <si>
    <t>junio</t>
  </si>
  <si>
    <t>Rocío Herrero Bautista</t>
  </si>
  <si>
    <t>1 fase bodytite interior de los muslos + muslos por detrás</t>
  </si>
  <si>
    <t>Vanessa Inmaculada Rebollo Martín</t>
  </si>
  <si>
    <t>1ª sesión acp con exosomas</t>
  </si>
  <si>
    <t>Montse Salmerón Lupiañez</t>
  </si>
  <si>
    <t>Financiación Blefaroplastia superior + inferior</t>
  </si>
  <si>
    <t>Isabel María Fernández Madrid</t>
  </si>
  <si>
    <t>Reserva Bodytite abdomen superior + inferior + flancos</t>
  </si>
  <si>
    <t xml:space="preserve">Elisa Peña Lirola </t>
  </si>
  <si>
    <t>rinomodelación(200)+ relleno a.h. gabela + duo peribucal(300)+ ergyflex (40)(debe 240)</t>
  </si>
  <si>
    <t xml:space="preserve">Susana Gómez Finnett </t>
  </si>
  <si>
    <t xml:space="preserve">2ª sesión morpheus tercio inferior + cuello </t>
  </si>
  <si>
    <t>2º Deep slim piernas completas(200) + preso(10)</t>
  </si>
  <si>
    <t>TOTAL CVR</t>
  </si>
  <si>
    <t>transf</t>
  </si>
  <si>
    <t>Cinco de Junio de 2024</t>
  </si>
  <si>
    <t>3er o 4º vial de a.h en labios</t>
  </si>
  <si>
    <t>Rocío Correa Ramos NYC</t>
  </si>
  <si>
    <t>3ª sesión dermapen facial (200) + crema de exosomas (100)</t>
  </si>
  <si>
    <t>Paco López Fernández</t>
  </si>
  <si>
    <t>1ª sesión bótox bruxismo</t>
  </si>
  <si>
    <t>1ª sesión Morpheus Cartucheras</t>
  </si>
  <si>
    <t>Ascensión Sanchez Lopez.</t>
  </si>
  <si>
    <t>1er duo Precibucal + reserva protector solar (20)</t>
  </si>
  <si>
    <t xml:space="preserve">Montse Salmerón Lupiañez </t>
  </si>
  <si>
    <t>profhilo body brazos (300) + duo peribucal (300) --&gt; (faltan 300 en la siguiente sesión)</t>
  </si>
  <si>
    <t>Antonia Villegas Godoy</t>
  </si>
  <si>
    <t>econess</t>
  </si>
  <si>
    <t>2ª sesión alydia Muslos</t>
  </si>
  <si>
    <t xml:space="preserve">Rocío Luque López </t>
  </si>
  <si>
    <t xml:space="preserve">2º vial a.h. pómulos </t>
  </si>
  <si>
    <t>2ª bote ergycell</t>
  </si>
  <si>
    <t xml:space="preserve">2º vial a.h. </t>
  </si>
  <si>
    <t xml:space="preserve">Amalia García Rodríguez </t>
  </si>
  <si>
    <t>2ª sesión Morpheus facial + cuello + escote</t>
  </si>
  <si>
    <t>tarº</t>
  </si>
  <si>
    <t>Gabriela Niulescu</t>
  </si>
  <si>
    <t>reserva lipotransferencia</t>
  </si>
  <si>
    <t>Estefanía Ruiz</t>
  </si>
  <si>
    <t>reserva bodytite en papada + brazos + mollete sujetador</t>
  </si>
  <si>
    <t xml:space="preserve">Sesión forma facial + cuello </t>
  </si>
  <si>
    <t xml:space="preserve">Mercedes Callejón Lirola </t>
  </si>
  <si>
    <t>1er vial radiesse tercio inferior</t>
  </si>
  <si>
    <t>Encarnación (Nani) García Ruiz -629151657- retoque pómulos</t>
  </si>
  <si>
    <t>retoque pómulos + primer duo peribucal(300)</t>
  </si>
  <si>
    <t xml:space="preserve">2º VIAL ACP FACIAL </t>
  </si>
  <si>
    <t>Lidia Castillo Almendros</t>
  </si>
  <si>
    <t>1ER VIAL PROFHILO FACE (400) + BÓTOX(300)</t>
  </si>
  <si>
    <t xml:space="preserve">Mariana Mincu </t>
  </si>
  <si>
    <t>1ª SESIÓN DEEP SLIM CICATRIC CESÁREA</t>
  </si>
  <si>
    <t xml:space="preserve">María Isabel medina cobo (hija) </t>
  </si>
  <si>
    <t>2ª SESIÓN Deep slim brazos</t>
  </si>
  <si>
    <t>2ª SESIÓN DEEP SLIM PIERNAS COMPLETAS</t>
  </si>
  <si>
    <t>Estefanía Ruiz Pérez</t>
  </si>
  <si>
    <t>Bodytite en mentón + brazos + rollitos del sujetador + interior de los muslos + monte de venus + faja</t>
  </si>
  <si>
    <t>Gabriela Niutlescu</t>
  </si>
  <si>
    <t>Bodytite en abdomen sup + inf + flancos + rollito suje</t>
  </si>
  <si>
    <t>Susana maldonado Nache</t>
  </si>
  <si>
    <t>BOTOX TERCIO SUPERIOR</t>
  </si>
  <si>
    <t>1ER DERMAPEN FACIAL (-100 EUROS)</t>
  </si>
  <si>
    <t>Carmen Fernández Vargas</t>
  </si>
  <si>
    <t>1ER DUO + BÓTOX EN FRENTE+ 35 ERGY CELL</t>
  </si>
  <si>
    <t>ESCISIÓN FIBROTICA (-500) + VIAL A.H CORPORAL (250)</t>
  </si>
  <si>
    <t>3ª SESIÓN PRP CAPILAR (-50)</t>
  </si>
  <si>
    <t xml:space="preserve">Carmen Rodríguez Sáez </t>
  </si>
  <si>
    <t>1ª sesión Morpheusv</t>
  </si>
  <si>
    <t>Bótox tercio superior (-60 euros econess)</t>
  </si>
  <si>
    <t xml:space="preserve">Marina Casado Parrilla </t>
  </si>
  <si>
    <t xml:space="preserve">1er dermapen con exosomas facial + 1er duo labios </t>
  </si>
  <si>
    <t>Vanessa López Mora</t>
  </si>
  <si>
    <t>4ª dermapen facial + nasogeniano</t>
  </si>
  <si>
    <t>Isabel Capel Lázaro</t>
  </si>
  <si>
    <t xml:space="preserve">1er vial pómulo </t>
  </si>
  <si>
    <t xml:space="preserve">María Teresa Góngora Enciso </t>
  </si>
  <si>
    <t>reserva de pexia de cejas</t>
  </si>
  <si>
    <t>Maria Ángeles García Lopez</t>
  </si>
  <si>
    <t>vial relleno de labios</t>
  </si>
  <si>
    <t>1ª sesión deep slim antiinflamatoria</t>
  </si>
  <si>
    <t>Elisa Peña Lirola -</t>
  </si>
  <si>
    <t>retoque gabela y rinomodelación (debía 240 --&gt; ya abonados</t>
  </si>
  <si>
    <t>Manuel Cravioto Manrique</t>
  </si>
  <si>
    <t>prp capilar meso sin cermapen + infiltración en antebrazo izq</t>
  </si>
  <si>
    <t>VICTOR PEREZ OLIVENCIA</t>
  </si>
  <si>
    <t>prp facial mesoterapia</t>
  </si>
  <si>
    <t>Mariana Mariana Mincu</t>
  </si>
  <si>
    <t>1ª sesión prp cicatriz cesárea</t>
  </si>
  <si>
    <t>Irene Ferrer Sánchez</t>
  </si>
  <si>
    <t>Microneedling con exosomas + dermapen en estrías abdomen + ergycell(35) + protector solar (20--&gt; ya pagó 20)</t>
  </si>
  <si>
    <t xml:space="preserve">1er DUO Peribucal </t>
  </si>
  <si>
    <t>Liliia OKHOTINA OKHOTINA</t>
  </si>
  <si>
    <t xml:space="preserve">primera sesión de exosomas despigmentantes + dermapen </t>
  </si>
  <si>
    <t xml:space="preserve">1er Duo peribucal </t>
  </si>
  <si>
    <t xml:space="preserve">2ª SESIÓN Duo peribucal </t>
  </si>
  <si>
    <t>María Isabel medina cobo</t>
  </si>
  <si>
    <t xml:space="preserve">4ª sesión dermapen facial </t>
  </si>
  <si>
    <t>Mónica Moreno Montaño</t>
  </si>
  <si>
    <t xml:space="preserve">Dermapen facial + mesoterapia de vitaminas </t>
  </si>
  <si>
    <t xml:space="preserve">Alydia + deep slim  </t>
  </si>
  <si>
    <t>INMACULADA LOPEZ NACHE</t>
  </si>
  <si>
    <t>Radiesse (400) + labios (750)</t>
  </si>
  <si>
    <t>Sonia Nikolaeva Koleva</t>
  </si>
  <si>
    <t>relleno de labios (350)</t>
  </si>
  <si>
    <t>Mirella Nichiteanu</t>
  </si>
  <si>
    <t>dermapen facial + exosomas</t>
  </si>
  <si>
    <t xml:space="preserve">Total Efectivo </t>
  </si>
  <si>
    <t>Total Tarjeta</t>
  </si>
  <si>
    <t>Susana Figuera Martín</t>
  </si>
  <si>
    <t xml:space="preserve">2º vial pómulos </t>
  </si>
  <si>
    <t>Luciana Giorgina Sirbu</t>
  </si>
  <si>
    <t>2ª sesión dermapen cicatriz medusa en pierna y 1ª sesión dermpen dacial (350) + retoque de pómulo + relleno de ojera (400)</t>
  </si>
  <si>
    <t xml:space="preserve">María José Martín Ruíz </t>
  </si>
  <si>
    <t>Retoque de bótox + 1ª sesión duo peribucal (300)</t>
  </si>
  <si>
    <t>Crema protección solar</t>
  </si>
  <si>
    <t>María Teresa Góngora Enciso</t>
  </si>
  <si>
    <t>pexia de cejas (750) + protector solar (40)</t>
  </si>
  <si>
    <t>Gloria Valdivia Fernandez</t>
  </si>
  <si>
    <t>blefaroplastia superior e inferior (1500)+ lifting de cejas(1000)</t>
  </si>
  <si>
    <t>Inmaculada lopez nache</t>
  </si>
  <si>
    <t>María José Martín Ruiz</t>
  </si>
  <si>
    <t>acp (150) + crema de exosomas (100)</t>
  </si>
  <si>
    <t>New York Clinic</t>
  </si>
  <si>
    <t xml:space="preserve">Francisca Muñoz </t>
  </si>
  <si>
    <t>Radiesse 200</t>
  </si>
  <si>
    <t xml:space="preserve">1ª sesión profhilo body cara cuello </t>
  </si>
  <si>
    <t>Compra ergycell (35) y ergyflex (40)</t>
  </si>
  <si>
    <t>pexia de cejas</t>
  </si>
  <si>
    <t xml:space="preserve">2ª DUO peribucal </t>
  </si>
  <si>
    <t>Maria Dolores Cabrera Parrón</t>
  </si>
  <si>
    <t>Teresa Enciso Ruiz</t>
  </si>
  <si>
    <t>mesoterapia de vitaminas (80) + crema de exosomas (100)</t>
  </si>
  <si>
    <t>2ª sesión Dermapen + 2ª sesión exosomas despigmentantes + 2ª sesión Duo Peribucal</t>
  </si>
  <si>
    <t xml:space="preserve">3 Deep slim piernas + brazos </t>
  </si>
  <si>
    <t>JULIO</t>
  </si>
  <si>
    <t>Lourdes Arcos Escobar</t>
  </si>
  <si>
    <t xml:space="preserve">2ª sesión Profhilo brazos (ya abonado) + 2ª sesión DUO peribucal </t>
  </si>
  <si>
    <t xml:space="preserve">Lola Pérez Antequera </t>
  </si>
  <si>
    <t xml:space="preserve"> 2ª deep slim muslos (50) + alydia (150)</t>
  </si>
  <si>
    <t xml:space="preserve">2ª sesión profhilo facial </t>
  </si>
  <si>
    <t>Caja de ampollas despigmentantes martiderm (60) + 4 muestras (10) + profilo body (600 --&gt; faltan 600 por pagar) + tto mesoterapia elixir col (30)</t>
  </si>
  <si>
    <t xml:space="preserve">2ª sesión DUO peribucal </t>
  </si>
  <si>
    <t xml:space="preserve">Isabel trinidad Álvarez </t>
  </si>
  <si>
    <t>1ª sesión Profhilo face</t>
  </si>
  <si>
    <t xml:space="preserve">Ana María Sánchez López </t>
  </si>
  <si>
    <t>3ª sesión acp face</t>
  </si>
  <si>
    <t>Mari Carmen Domene</t>
  </si>
  <si>
    <t xml:space="preserve">2ª sesión deep slim </t>
  </si>
  <si>
    <t>Rosa María Martos Jimenez</t>
  </si>
  <si>
    <t>plexr en cuello + mano</t>
  </si>
  <si>
    <t>RAQUEL PEREZ GALERA</t>
  </si>
  <si>
    <t>Fayna Valido Hernández</t>
  </si>
  <si>
    <t xml:space="preserve">mesoterapia l-carnitina + adipozone + deep slim cicatrices </t>
  </si>
  <si>
    <t>María del Mar Espinosa Fernández</t>
  </si>
  <si>
    <t xml:space="preserve">profhilo face </t>
  </si>
  <si>
    <t>Miércoles10/07/2024</t>
  </si>
  <si>
    <t>Gloria Valdivia Escobar</t>
  </si>
  <si>
    <t>sesión deep slim (50) + ergycell (35) + exosomas cutáneos (100)</t>
  </si>
  <si>
    <t>Maria José Martín Ruiz</t>
  </si>
  <si>
    <t>300 regalo para su hermana</t>
  </si>
  <si>
    <t>Mari Carmen Domene Torreblanca</t>
  </si>
  <si>
    <t>Encarnación (Nani) García Ruiz</t>
  </si>
  <si>
    <t>1er vial de DUO peribucal + bótox</t>
  </si>
  <si>
    <t>Venuta Lungu</t>
  </si>
  <si>
    <t>1 vial peribucal teoxane líneas de marioneta</t>
  </si>
  <si>
    <t>2º vial radiesse + 1er vial bioestimulación</t>
  </si>
  <si>
    <t>3ª sesión Morpheus Facial + cuello + escote</t>
  </si>
  <si>
    <t>Deep slim piernas completas (200) + Radiesse (400)+ Crema de exosomas(100)</t>
  </si>
  <si>
    <t xml:space="preserve">Gloria Valdivia </t>
  </si>
  <si>
    <t>Profhilo Body</t>
  </si>
  <si>
    <t>Lola Perez Antequera</t>
  </si>
  <si>
    <t xml:space="preserve">Alidya + sesion deep slim </t>
  </si>
  <si>
    <t>Ergyflex</t>
  </si>
  <si>
    <t>Maria Dolores Martín</t>
  </si>
  <si>
    <t>2 viales de DUO en peribucal (300 + 250)</t>
  </si>
  <si>
    <t>vTone (200) + Tone (60 gratis) + Morpheusv (gratis)</t>
  </si>
  <si>
    <t>Ionela Roxana Ciocanta</t>
  </si>
  <si>
    <t>1 vial Redensity ojeras</t>
  </si>
  <si>
    <t>Rosa María Peralta Pérez</t>
  </si>
  <si>
    <t>Duo (300) + dermapen con exosomas 350 + formulación despigmentante</t>
  </si>
  <si>
    <t xml:space="preserve">desbridamiento de glúteo </t>
  </si>
  <si>
    <t>2ª sesión prp cicatriz abdominoplastia</t>
  </si>
  <si>
    <t>sesión deep slim en bolsa post blefaroplastia</t>
  </si>
  <si>
    <t>radiesse (400) + hialurodinasa (gratis) + urbasón en cicatriz (gratis)</t>
  </si>
  <si>
    <t>Remodelación nariz (250)</t>
  </si>
  <si>
    <t>deep slim piernas completas</t>
  </si>
  <si>
    <t>Maria del Carmen  Gomez Moreno</t>
  </si>
  <si>
    <t>Bótox + profhilo body</t>
  </si>
  <si>
    <t>mesoterapia lipolítico de adipozon abdomen</t>
  </si>
  <si>
    <t>relleno de ojera redensity 2</t>
  </si>
  <si>
    <t xml:space="preserve">Iván Puga Puga </t>
  </si>
  <si>
    <t>plexr verruga cuello + dedo + codo + muslo + pantorrilla</t>
  </si>
  <si>
    <t>María Isabel González Parrilla</t>
  </si>
  <si>
    <t>Esther Salas Bravo</t>
  </si>
  <si>
    <t>Charo Pérez Alcoba</t>
  </si>
  <si>
    <t xml:space="preserve">Ergycell (2x1) </t>
  </si>
  <si>
    <t xml:space="preserve">5ª Deep SLim piernas completas </t>
  </si>
  <si>
    <t>Sesión Forma facial + bótox</t>
  </si>
  <si>
    <t>Ergyflex + ergycell</t>
  </si>
  <si>
    <t>Marta Usabiaga Garrido</t>
  </si>
  <si>
    <t xml:space="preserve">Profhilo face + dsp despigment </t>
  </si>
  <si>
    <t>viscoderm</t>
  </si>
  <si>
    <t xml:space="preserve">acp + dermapen blue de exosomas </t>
  </si>
  <si>
    <t>2ª sesión Morpheusv + Tone (60 --&gt; gratis)</t>
  </si>
  <si>
    <t>3ª sesión Morpheus Cartucheras</t>
  </si>
  <si>
    <t>ISABEL TRINIDAD PEREZ ALVAREZ</t>
  </si>
  <si>
    <t>2ª sesión profhilo face</t>
  </si>
  <si>
    <t>Virginia Manzano Campoy</t>
  </si>
  <si>
    <t xml:space="preserve">1ª sesión exosomas + dermapen </t>
  </si>
  <si>
    <t>Relleno de ojera (400 --&gt; 300) + Bótox (350 --&gt; 300) + Relleno de pómulos (350--&gt; 300)</t>
  </si>
  <si>
    <t>Maria Dolores Martínez</t>
  </si>
  <si>
    <t xml:space="preserve">Viscoderm peribucal </t>
  </si>
  <si>
    <t>María Isabel Villegas Cara</t>
  </si>
  <si>
    <t>Pago de radiesse + DUO + a.h. pendientes</t>
  </si>
  <si>
    <t>Exosomas mesoterapia con dermapen en abdomen + mirconeedling blue</t>
  </si>
  <si>
    <t xml:space="preserve">2 botes de ergycell </t>
  </si>
  <si>
    <t xml:space="preserve">Ellansé </t>
  </si>
  <si>
    <t>Cristina Athertua Tapasco</t>
  </si>
  <si>
    <t xml:space="preserve">relleno de labios </t>
  </si>
  <si>
    <t>Ana Belén Sánchez Imbernon</t>
  </si>
  <si>
    <t xml:space="preserve">ecografía + ergycell </t>
  </si>
  <si>
    <t xml:space="preserve">María Sánchez Alcalde </t>
  </si>
  <si>
    <t xml:space="preserve">rinomdelación + bioestimulación </t>
  </si>
  <si>
    <t>Ana Belén Morillas Martín</t>
  </si>
  <si>
    <t>relleno de ojeras</t>
  </si>
  <si>
    <t>Ascensión Sánchez López</t>
  </si>
  <si>
    <t xml:space="preserve">relleno blanching a.h </t>
  </si>
  <si>
    <t xml:space="preserve">Ancuta Manca </t>
  </si>
  <si>
    <t xml:space="preserve">plexr </t>
  </si>
  <si>
    <t xml:space="preserve"> María Isabel medina cobo</t>
  </si>
  <si>
    <t xml:space="preserve">Relleno a.h pómulos + relleno duo </t>
  </si>
  <si>
    <t xml:space="preserve">Revox en cuello + pecho </t>
  </si>
  <si>
    <t>Marisol Navarro Ramírez</t>
  </si>
  <si>
    <t>mesoterapia rodilla</t>
  </si>
  <si>
    <t>Damaris maqueira</t>
  </si>
  <si>
    <t xml:space="preserve">Relleno labios </t>
  </si>
  <si>
    <t>Maria del mar Espinosa</t>
  </si>
  <si>
    <t>mesoterapia exosomas y plasma + dermapen 4 (300) + mascarilla jalupro (10)</t>
  </si>
  <si>
    <t>Salvador Valero Fuentes</t>
  </si>
  <si>
    <t>Deep slim ojera (30) + Forma periocular (50) + retoque hialurodinasa (0)</t>
  </si>
  <si>
    <t>María Dolores Martín</t>
  </si>
  <si>
    <t>Forma facial + cuello (200) + crema protector solar (40)</t>
  </si>
  <si>
    <t xml:space="preserve">Emilia Rubi Martos </t>
  </si>
  <si>
    <t>botox</t>
  </si>
  <si>
    <t>Maria del Carmen Domente Torreblanca</t>
  </si>
  <si>
    <t xml:space="preserve">Lipotransferencia facial </t>
  </si>
  <si>
    <t xml:space="preserve">Gloria Valdivia Fernandez </t>
  </si>
  <si>
    <t xml:space="preserve">1ª sesion deep slim anttinflamatorio </t>
  </si>
  <si>
    <t>Maria del Carmen Domene Torreblanca</t>
  </si>
  <si>
    <t xml:space="preserve">Reserva lipotransferencia facial </t>
  </si>
  <si>
    <t>retoque de labios + plexr</t>
  </si>
  <si>
    <t>Rosalía Espinosa</t>
  </si>
  <si>
    <t>Medio Kit de Profhilo Body</t>
  </si>
  <si>
    <t xml:space="preserve">PRP facial y capilar </t>
  </si>
  <si>
    <t>Carmen María Lara Rojas</t>
  </si>
  <si>
    <t>1ª sesión deep slim piernas (100) + prueba test genético (300)</t>
  </si>
  <si>
    <t xml:space="preserve">1vial adipozon (100) + (50) deep slim </t>
  </si>
  <si>
    <t>2ª DUO peribucal (300) + desbridamiento (gratis)</t>
  </si>
  <si>
    <t xml:space="preserve">Carmen Galdeano Garcia </t>
  </si>
  <si>
    <t>Exosomas en abdomen + dermapen (250) + deep slim (gratuito)</t>
  </si>
  <si>
    <t>1er acp periocular + cicatrices (300)</t>
  </si>
  <si>
    <t>bótox (300) (paga 150) debe 150</t>
  </si>
  <si>
    <t>Neyba Cortés Cortés</t>
  </si>
  <si>
    <t>1ª sesión dermapen con exosomas</t>
  </si>
  <si>
    <t xml:space="preserve">Natalia Antonova </t>
  </si>
  <si>
    <t>dermapen facial (200) + Peling de exosomas (200) (Se le ha dejado en 300)(Paga 100)</t>
  </si>
  <si>
    <t>Fina Arias Salmerón</t>
  </si>
  <si>
    <t>reserva facetite</t>
  </si>
  <si>
    <t>José María frías Muñoz</t>
  </si>
  <si>
    <t>plexr en frente</t>
  </si>
  <si>
    <t>Mariana Mincu</t>
  </si>
  <si>
    <t>3ª sesión PRP cicatriz</t>
  </si>
  <si>
    <t xml:space="preserve">Demelsa Perea Marín </t>
  </si>
  <si>
    <t xml:space="preserve">1er Morpheus Peribucal
</t>
  </si>
  <si>
    <t>Francisco Jimenez Callejón</t>
  </si>
  <si>
    <t>Reserva blefaroplastia superior e inferior</t>
  </si>
  <si>
    <t>Maria Dolores Martinez</t>
  </si>
  <si>
    <t>Bono Forma  (6 sesiones cara + cuello)</t>
  </si>
  <si>
    <t>Plasma Rico en pLaquetas y dermapen (235) + ergycell (35)</t>
  </si>
  <si>
    <t>relleno de labios (DUO)</t>
  </si>
  <si>
    <t>MESOTERAPIA LIPOLÍTICA EN LA RODILLA</t>
  </si>
  <si>
    <t xml:space="preserve">
Patricia López Rubí</t>
  </si>
  <si>
    <t>Relleno de labios</t>
  </si>
  <si>
    <t>retoque de bótox (0) + duo código de barras (300)</t>
  </si>
  <si>
    <t>Exosomas faciales y dermapen (150) + mascarilla softpill (5)</t>
  </si>
  <si>
    <t>exosomas + dermapen faciales</t>
  </si>
  <si>
    <t xml:space="preserve">Isabel María Fernández </t>
  </si>
  <si>
    <t>2ª sesión deep slim prequirúrgico</t>
  </si>
  <si>
    <t>Noelia Cecilia Arias Amorós</t>
  </si>
  <si>
    <t xml:space="preserve">Bodytite Sup + inf </t>
  </si>
  <si>
    <t>lipofilling facial + cuello + codos</t>
  </si>
  <si>
    <t>María Francisca Fernández Muñoz</t>
  </si>
  <si>
    <t>retoque bótox</t>
  </si>
  <si>
    <t xml:space="preserve">Marta Usabiaga Garrido </t>
  </si>
  <si>
    <t>Sokeina hamouamar</t>
  </si>
  <si>
    <t>peeling tca + fenol</t>
  </si>
  <si>
    <t xml:space="preserve">relleno a.h </t>
  </si>
  <si>
    <t>exosomas + dermapen y plexr en brazos(reglao)</t>
  </si>
  <si>
    <t>exosomas capilares + corticoide en cuero cabelludo + dermapen</t>
  </si>
  <si>
    <t>Reserva lipofilling facial</t>
  </si>
  <si>
    <t xml:space="preserve">2ª parte pago bodytite abdomen + flancos </t>
  </si>
  <si>
    <t>Andrea Chiroiu</t>
  </si>
  <si>
    <t>Antonio Fernández Archilla</t>
  </si>
  <si>
    <t>Noelia Valdeavero Castro</t>
  </si>
  <si>
    <t>1ª ses forma facial + relleno a.h pómulos + duo peribucal</t>
  </si>
  <si>
    <t xml:space="preserve">relleno de pómulos </t>
  </si>
  <si>
    <t>Nicolás Valero Martin</t>
  </si>
  <si>
    <t>Ampollas martiderm despigmentantes (60) + protección solar (40)</t>
  </si>
  <si>
    <t>prp capilar (200)</t>
  </si>
  <si>
    <t xml:space="preserve">PRP facial + micronedling en rostro + exosomas (debe 350) </t>
  </si>
  <si>
    <t>Francisco Gimenez Callejón</t>
  </si>
  <si>
    <t>devolución de reserva de blefa sup + lipofilling ojos</t>
  </si>
  <si>
    <t xml:space="preserve">exosomas capilares </t>
  </si>
  <si>
    <t>ISABEL FUENTES RUBIRA</t>
  </si>
  <si>
    <t xml:space="preserve">DERMAPEN FACIAL </t>
  </si>
  <si>
    <t>3er PRP CAPILAR</t>
  </si>
  <si>
    <t>reserva blefa sup + lipofilling parp inf</t>
  </si>
  <si>
    <t xml:space="preserve">Rocío Correa Ramos NYC </t>
  </si>
  <si>
    <t>Dermpapen facial con exosomas</t>
  </si>
  <si>
    <t xml:space="preserve">2ª dermapen + exosomas acné </t>
  </si>
  <si>
    <t>Carmen Santiago Sánchez</t>
  </si>
  <si>
    <t xml:space="preserve">reserva de cita </t>
  </si>
  <si>
    <t>Natalia Antonova -616975861-</t>
  </si>
  <si>
    <t>2ª sesión Dermapen facial despigmentante  +  peeling de exosomas (300) (100 de deuda)</t>
  </si>
  <si>
    <t>Crema de exosomas (100) + pastillas ergycell(35)</t>
  </si>
  <si>
    <t>Elena Sirbu</t>
  </si>
  <si>
    <t>peeling de exosomas (100) + crema reparadora (45)</t>
  </si>
  <si>
    <t>Tatiana Rybakova</t>
  </si>
  <si>
    <t>Forma facial + cuello 200</t>
  </si>
  <si>
    <t xml:space="preserve">Victoria ZUBKO </t>
  </si>
  <si>
    <t xml:space="preserve">2º DUO peribucal </t>
  </si>
  <si>
    <t xml:space="preserve">Rosana Arcos Escobar </t>
  </si>
  <si>
    <t xml:space="preserve">4ª sesión Morpheus8 facial + cuello </t>
  </si>
  <si>
    <t>prp capilar + facial + ampollas vitaminas</t>
  </si>
  <si>
    <t>Alexis Lupión Redondo</t>
  </si>
  <si>
    <t>reserva de cita de valoración</t>
  </si>
  <si>
    <t xml:space="preserve">ACP facial </t>
  </si>
  <si>
    <t xml:space="preserve">4ª sesión adipozon cara anterior del muslo </t>
  </si>
  <si>
    <t xml:space="preserve">Reserva lipofilling facial </t>
  </si>
  <si>
    <t xml:space="preserve">50 euros reserva de cita </t>
  </si>
  <si>
    <t>Maria del Mar García Martín</t>
  </si>
  <si>
    <t xml:space="preserve">1/2 crema de Dolores Tito + reserva de cita Deep SLim </t>
  </si>
  <si>
    <t xml:space="preserve">1/2 lipofilling facial + rostro </t>
  </si>
  <si>
    <t>peeling de exosomas + dermapen</t>
  </si>
  <si>
    <t xml:space="preserve">2ª sesión morpheus peribucal </t>
  </si>
  <si>
    <t>Rut María Medina Baraza</t>
  </si>
  <si>
    <t>Carmen Griñán Soria</t>
  </si>
  <si>
    <t xml:space="preserve">1 PRP capilar + 1er DUO peribucal </t>
  </si>
  <si>
    <t>Labios volumen</t>
  </si>
  <si>
    <t>Candy Godoy Pastor</t>
  </si>
  <si>
    <t>1ª sesión Morpheus bra rolls y grasa intercostal abd sup lateral + crema de exosomas</t>
  </si>
  <si>
    <t>exosomas capilares</t>
  </si>
  <si>
    <t>Antonio José Figueroa González</t>
  </si>
  <si>
    <t xml:space="preserve">Reserva de cita </t>
  </si>
  <si>
    <t xml:space="preserve">Dolores Garrido García </t>
  </si>
  <si>
    <t>Bono 5 sesiones de radiofrecuencia por 250</t>
  </si>
  <si>
    <t xml:space="preserve">Blefaroplastia superior + nanofat inferior  </t>
  </si>
  <si>
    <t>crema despigmentante</t>
  </si>
  <si>
    <t>Martirio Fresneda Salas</t>
  </si>
  <si>
    <t>reserva de cita de peeling</t>
  </si>
  <si>
    <t>1ª sesión Morpheus abdomen + int de los muslos + molletillos</t>
  </si>
  <si>
    <t>Rocío Correa Ramos</t>
  </si>
  <si>
    <t>Peeling de exosomas (100) + Crema protección solar (40) + reserva de la siguiente cita</t>
  </si>
  <si>
    <t xml:space="preserve">Sesión Adipozón </t>
  </si>
  <si>
    <t>María Góngora Vicente</t>
  </si>
  <si>
    <t>2ª parte del pago facetite y necktite</t>
  </si>
  <si>
    <t>Andrey Semibratov</t>
  </si>
  <si>
    <t xml:space="preserve">cirugía quistes lóbulo de la oreja </t>
  </si>
  <si>
    <t>2ª sesión exosomas infiltrados + dermapen exosomas</t>
  </si>
  <si>
    <t xml:space="preserve"> reserva Bodytite abdomen + flancos</t>
  </si>
  <si>
    <t>2ª parte de pago Nanofat facial</t>
  </si>
  <si>
    <t xml:space="preserve">Rosa María Peralta Pérez </t>
  </si>
  <si>
    <t>3ª sesión exosomas + dermapen cicatrices</t>
  </si>
  <si>
    <t>Infiltración de PRP en columna (-100 euros por reserva de dos citas (50€ cita) + Reserva de próxima  cita en 2 semanas</t>
  </si>
  <si>
    <t xml:space="preserve">2º relleno de glúteo </t>
  </si>
  <si>
    <t>Ana Yedra López</t>
  </si>
  <si>
    <t>reserva nanofat</t>
  </si>
  <si>
    <t>PRP capilar (200) + bótox (300)</t>
  </si>
  <si>
    <t xml:space="preserve">deep slim rodilla a tobillo </t>
  </si>
  <si>
    <t>Mari Carmen García Martin</t>
  </si>
  <si>
    <t>1er bótox + reserva cita morpheus</t>
  </si>
  <si>
    <t>Adipozon muslos</t>
  </si>
  <si>
    <t>SOLEDAD GARCIA VAQUERO</t>
  </si>
  <si>
    <t>1ª sesión Morpheus facial + cuello + escote + blanqueante (gratis) + Ergycell (40)</t>
  </si>
  <si>
    <t xml:space="preserve">reserva relleno de labios </t>
  </si>
  <si>
    <t xml:space="preserve">Fina Arias Salmerón </t>
  </si>
  <si>
    <t xml:space="preserve">Deep Slim zona facial </t>
  </si>
  <si>
    <t>5ª sesión lipolítico en rodilla</t>
  </si>
  <si>
    <t xml:space="preserve">María Jesús Capilla Pérez </t>
  </si>
  <si>
    <t>Reserva de cita  plexr párpado superior</t>
  </si>
  <si>
    <t xml:space="preserve">Dolores López Gabarrón </t>
  </si>
  <si>
    <t xml:space="preserve">RESERVA LIPOFILLING </t>
  </si>
  <si>
    <t>3ª SESIÓN EXOSOMAS + DERMAPEN</t>
  </si>
  <si>
    <t xml:space="preserve">plexr cuello </t>
  </si>
  <si>
    <t xml:space="preserve">María Morales Ramos </t>
  </si>
  <si>
    <t>reserva cita Morpheus</t>
  </si>
  <si>
    <t>LUCIA MOLINA VILLEGAS</t>
  </si>
  <si>
    <t xml:space="preserve">Patricia carolina herrero </t>
  </si>
  <si>
    <t>reserva tto glow express</t>
  </si>
  <si>
    <t>anonimo</t>
  </si>
  <si>
    <t xml:space="preserve">ergyflex </t>
  </si>
  <si>
    <t xml:space="preserve">Maria del Mar García Martin </t>
  </si>
  <si>
    <t>1ª sesión Deep slim piernas completas</t>
  </si>
  <si>
    <t>reserva cita</t>
  </si>
  <si>
    <t>Nihal Naji -</t>
  </si>
  <si>
    <t xml:space="preserve">reserva cita </t>
  </si>
  <si>
    <t>Radiesse (-100 euros --&gt; 400) + Duo (300)</t>
  </si>
  <si>
    <t>Relleno de ojeras redensity 1 (400)</t>
  </si>
  <si>
    <t xml:space="preserve">Mercedes Ruiz Castillo </t>
  </si>
  <si>
    <t>Plexr Santelasma en párpado inferior</t>
  </si>
  <si>
    <t xml:space="preserve">Salvador Rubí Crespo </t>
  </si>
  <si>
    <t>1er PRP capilar (300 --&gt; 200) + reserva de cita (50) +  Ergycell (35)</t>
  </si>
  <si>
    <t xml:space="preserve"> Nazaret Molina López</t>
  </si>
  <si>
    <t xml:space="preserve">reserva de cita  1ª ev. </t>
  </si>
  <si>
    <t xml:space="preserve">reserva Cirugía blef sup. </t>
  </si>
  <si>
    <t>Exosomas faciales (300) + Capilares (300) + Erfyflex (50) + Mascarilla (reg)</t>
  </si>
  <si>
    <t xml:space="preserve">Nihal Naji </t>
  </si>
  <si>
    <t>Eliminación de Almorrana (200)  +reserva peeling íntimo (50)</t>
  </si>
  <si>
    <t>Teruyo(Terry) Daito</t>
  </si>
  <si>
    <t xml:space="preserve">1ª sesión Morpheus facial + cuello (500) + reserv cita de 2ª ses. </t>
  </si>
  <si>
    <t>Reserva cita de tto de bótox</t>
  </si>
  <si>
    <t xml:space="preserve">peeling de exomas (100) </t>
  </si>
  <si>
    <t>Regina Manrique Antequera</t>
  </si>
  <si>
    <t>dermapen (200) + plexr en cuello + escote (rgl. Dr. Martinez)</t>
  </si>
  <si>
    <t>Noelia Romera González</t>
  </si>
  <si>
    <t>Reserva de cita de relleno de labios</t>
  </si>
  <si>
    <t>Prestamo Lisensiado Martinez</t>
  </si>
  <si>
    <t>Para llegar a objetivo  Venta Ergycell (50) + ergyflex (35)</t>
  </si>
  <si>
    <t>Enrique Aguilera Ledesma</t>
  </si>
  <si>
    <t>reserva Radiesse</t>
  </si>
  <si>
    <t>reserva bótox</t>
  </si>
  <si>
    <t>Daniel López Valdivia</t>
  </si>
  <si>
    <t>pago recetas</t>
  </si>
  <si>
    <t xml:space="preserve">resto de blefaroplastia sup </t>
  </si>
  <si>
    <t xml:space="preserve"> María Jesús García</t>
  </si>
  <si>
    <t xml:space="preserve">reserva 1ª ev </t>
  </si>
  <si>
    <t>Emilia López Rubí</t>
  </si>
  <si>
    <t>Le falta 30 euros por pagar (relleno de labios)</t>
  </si>
  <si>
    <t xml:space="preserve">3ª sesión peeling exosomas + dermapen </t>
  </si>
  <si>
    <t xml:space="preserve"> Alexis Lupión Redondo (CONF)</t>
  </si>
  <si>
    <t>2ª infiltración prp hernia espalda</t>
  </si>
  <si>
    <t>Reserva tratamiento Glow Express</t>
  </si>
  <si>
    <t>reserva lipofillig facial + células madre</t>
  </si>
  <si>
    <t xml:space="preserve">Eva María Pedrajas López </t>
  </si>
  <si>
    <t>exosomas capilares + corticoide(280) + máscara led (gratis)</t>
  </si>
  <si>
    <t xml:space="preserve">deep dlim facial + cuello </t>
  </si>
  <si>
    <t>Noelia Romero González</t>
  </si>
  <si>
    <t>relleno de labios (350 (-50 de reserv))</t>
  </si>
  <si>
    <t>Blefaroplastia superior plexr  [800 (-50 RESERVA)]</t>
  </si>
  <si>
    <t>Ana Ibañez Tapia</t>
  </si>
  <si>
    <t>reserva cita (50)</t>
  </si>
  <si>
    <t>Jose Saveedra Maleno</t>
  </si>
  <si>
    <t>Reserva de cita (50)</t>
  </si>
  <si>
    <t>Nicolás Rodríguez Robles</t>
  </si>
  <si>
    <t>Oana Amarandei</t>
  </si>
  <si>
    <t xml:space="preserve">Reserva cita </t>
  </si>
  <si>
    <t xml:space="preserve">2º Morpheus 8 peribucal  </t>
  </si>
  <si>
    <t xml:space="preserve">Maribel Fernández Fernández </t>
  </si>
  <si>
    <t xml:space="preserve">Reserva Labios </t>
  </si>
  <si>
    <t>María Morales Ramos</t>
  </si>
  <si>
    <t xml:space="preserve">1ª ses Morpheus facial + cuello </t>
  </si>
  <si>
    <t>Alicia Villegas Tito</t>
  </si>
  <si>
    <t>Peeling exosomas + microneedling</t>
  </si>
  <si>
    <t>Maria del mar García Martín</t>
  </si>
  <si>
    <t>Radiesse (-100€ por abogado madre de Violeta)</t>
  </si>
  <si>
    <t>Dolores López Gabarrón</t>
  </si>
  <si>
    <t xml:space="preserve">2ª parte pago Nanofat </t>
  </si>
  <si>
    <t>Dermapen + exosomas(infiltrados regalo dra) + luz led (30)</t>
  </si>
  <si>
    <t>2ª pago nanofar facial + cuello + escote (200)+ crema de exosomas (100) + ergycell(35)</t>
  </si>
  <si>
    <t>Bótox Nuceiva (-50 por la reserva de cita)</t>
  </si>
  <si>
    <t xml:space="preserve">María Del Carmen Gómez Moreno </t>
  </si>
  <si>
    <t xml:space="preserve">Candy Godoy Pastor </t>
  </si>
  <si>
    <t>2ª sesión Morpheus8 lorcillas de paletilla y chichilla diafragmática</t>
  </si>
  <si>
    <t>1er vial relleno pómulos para disimular bolsa (350--&gt; -50€ por reserva ya realizada)</t>
  </si>
  <si>
    <t>Nazaret Molina López</t>
  </si>
  <si>
    <t xml:space="preserve">botox (300 --&gt; -50 ) </t>
  </si>
  <si>
    <t>exeresis lesiones benignas en cuero cabelludo, cara, barba y cuello (-50 euros por reserva)</t>
  </si>
  <si>
    <t xml:space="preserve">2ª sesión Peeling  </t>
  </si>
  <si>
    <t>MARTA GUTIERREZ GÓMEZ</t>
  </si>
  <si>
    <t>Forma facial + mascarillas jalupro</t>
  </si>
  <si>
    <t>Eva María Pedrajas</t>
  </si>
  <si>
    <t xml:space="preserve">relleno de ojera </t>
  </si>
  <si>
    <t xml:space="preserve">1ª SESIÓN Morpheus facial + cuello </t>
  </si>
  <si>
    <t xml:space="preserve">crema de exosomas (100) + formulación despigmentante </t>
  </si>
  <si>
    <t xml:space="preserve">Araceli Checa Viedma </t>
  </si>
  <si>
    <t>Araceli Checa Viedma</t>
  </si>
  <si>
    <t>NEFTALI TOLEDANO PEREZ</t>
  </si>
  <si>
    <t>SORAYA SALINAS RODRIGUEZ</t>
  </si>
  <si>
    <t>Dermapen (200) + 1 vial adipozón (100)</t>
  </si>
  <si>
    <t xml:space="preserve">duo labios (-50 por la reserva) </t>
  </si>
  <si>
    <t>Natalia López Nieto</t>
  </si>
  <si>
    <t>Relleno de labios teoxane</t>
  </si>
  <si>
    <t>bótox 300 (-50 euros de reserva)</t>
  </si>
  <si>
    <t>Carmen Sevilla Arévalo</t>
  </si>
  <si>
    <t>reserva de cita</t>
  </si>
  <si>
    <t xml:space="preserve"> Yolanda María Fernández</t>
  </si>
  <si>
    <t>1 vial de Radiesse + 1 vial de hialurodinasa (500)</t>
  </si>
  <si>
    <t xml:space="preserve"> Azucena Martínez Lobera</t>
  </si>
  <si>
    <t>relleno labios (promo) (280 promo) --&gt; (20 euros de vuelta)</t>
  </si>
  <si>
    <t>plexr párpados</t>
  </si>
  <si>
    <t>Inmaculada López Nache</t>
  </si>
  <si>
    <t>relleno sv ah. 1 vial (-50 por vip)</t>
  </si>
  <si>
    <t>María Jesús Callejón García</t>
  </si>
  <si>
    <t>1ª sesión Morpheus facial resurfacing (500) + crema exosomas (50) (-50 de reserva)</t>
  </si>
  <si>
    <t xml:space="preserve">1 vial a.h. </t>
  </si>
  <si>
    <t>Mayte Hernández Revuelto</t>
  </si>
  <si>
    <t>reserva Bodytite</t>
  </si>
  <si>
    <t>reserva lipofilling senos</t>
  </si>
  <si>
    <t xml:space="preserve">Plexr blef párpado superior </t>
  </si>
  <si>
    <t>SOFIA PADILLA DEL CAMPO</t>
  </si>
  <si>
    <t>María De La Cabeza Ortiz Serrano</t>
  </si>
  <si>
    <t xml:space="preserve">Prp facial + dermapen </t>
  </si>
  <si>
    <t>Mercedes Marañés Alcaide</t>
  </si>
  <si>
    <t>1er bótox Azzalure</t>
  </si>
  <si>
    <t>1er bótox azzalure</t>
  </si>
  <si>
    <t xml:space="preserve"> Rosa Campoy Sánchez</t>
  </si>
  <si>
    <t>4ª sesión deep slim rodilla a tobillo</t>
  </si>
  <si>
    <t>relleno de labios (280) --&gt; (20 euros de vuelta)</t>
  </si>
  <si>
    <t xml:space="preserve">Peeling de exosomas radiance + restructa </t>
  </si>
  <si>
    <t>María Del Carmen Gómez Fernández</t>
  </si>
  <si>
    <t>1 vial a.h labios Teoxane Kiss (Había hecho transferencia de reserva 50€)</t>
  </si>
  <si>
    <t xml:space="preserve">prp facial + capilar + polyvitaminas </t>
  </si>
  <si>
    <t xml:space="preserve">Aurora Quevedo </t>
  </si>
  <si>
    <t xml:space="preserve">1ª sesión Morpheus </t>
  </si>
  <si>
    <t>2ª vial labios teoxane rha kiss</t>
  </si>
  <si>
    <t xml:space="preserve">meso rodilla adipozon </t>
  </si>
  <si>
    <t xml:space="preserve"> SOLEDAD GARCIA VAQUERO</t>
  </si>
  <si>
    <t>2ª sesión morpheus cara + cuello</t>
  </si>
  <si>
    <t xml:space="preserve"> exosomas infltr + dermapen (280) + crema exosomas (100) </t>
  </si>
  <si>
    <t>Aurelia María Peralta Ibañez</t>
  </si>
  <si>
    <t xml:space="preserve">plexr cuello (150) </t>
  </si>
  <si>
    <t>Eva Liria Rubio</t>
  </si>
  <si>
    <t xml:space="preserve">1ª sesión Morpheus Facial cara + cuello </t>
  </si>
  <si>
    <t>María del Mar García Martín</t>
  </si>
  <si>
    <t xml:space="preserve">3ª sesion deep slim </t>
  </si>
  <si>
    <t>Mario García Villegas</t>
  </si>
  <si>
    <t>Reserva labios promo de Alicia Villegas (madre)</t>
  </si>
  <si>
    <t>Yolanda Serrano Escudero</t>
  </si>
  <si>
    <t xml:space="preserve">reserva bodytite monte de venus y abd. inf </t>
  </si>
  <si>
    <t>Lisensiado Sergio Martínez Escobar</t>
  </si>
  <si>
    <t xml:space="preserve">crema de exosomas(100) + ergycell  (30 (-5)) </t>
  </si>
  <si>
    <t>María Dolores Martínez Sánchez</t>
  </si>
  <si>
    <t>5ª sesión forma + 2 protectores solares (40)</t>
  </si>
  <si>
    <t xml:space="preserve">Teruyo Terry Daito </t>
  </si>
  <si>
    <t xml:space="preserve">2ª sesión Morpheus facial + cuello </t>
  </si>
  <si>
    <t>Montserrat Peña</t>
  </si>
  <si>
    <t xml:space="preserve">1ª sesión Mesoterapia abdominal </t>
  </si>
  <si>
    <t>Forma facial + cuello (150)</t>
  </si>
  <si>
    <t xml:space="preserve"> LUCIA MOLINA VILLEGAS </t>
  </si>
  <si>
    <t xml:space="preserve">Bruximo bótox (1 vial) </t>
  </si>
  <si>
    <t xml:space="preserve">Botox </t>
  </si>
  <si>
    <t>2ª sesión de prp + dermapen (150) + pastillas ergycell (40) (-50 reservada)</t>
  </si>
  <si>
    <t>Tamara Rodríguez Godoy</t>
  </si>
  <si>
    <t xml:space="preserve">botox nuceiva </t>
  </si>
  <si>
    <t>Raul Serrano Jordan</t>
  </si>
  <si>
    <t xml:space="preserve">Bótox bocouture </t>
  </si>
  <si>
    <t>2ª parte del pago de bodytite abdomen sup + inf + faja</t>
  </si>
  <si>
    <t>Susana Maldonado Nache</t>
  </si>
  <si>
    <t xml:space="preserve">Crema de exosomas </t>
  </si>
  <si>
    <t>Gema Bonilla Rubio</t>
  </si>
  <si>
    <t>José Cazorla Vidaña</t>
  </si>
  <si>
    <t xml:space="preserve">3ª sesi´`on peeling de exosomas </t>
  </si>
  <si>
    <t xml:space="preserve">María Dolores Martínez Sánchez </t>
  </si>
  <si>
    <t xml:space="preserve">Protección Solar facial </t>
  </si>
  <si>
    <t xml:space="preserve"> Gádor Sevilla Arévalo</t>
  </si>
  <si>
    <t>Bótox (300) + ergyceñll (35) + ergyflex (50)</t>
  </si>
  <si>
    <t xml:space="preserve">Botóx (300 - 50(reserva) --&gt; 250) </t>
  </si>
  <si>
    <t>Salvador García Sevilla</t>
  </si>
  <si>
    <t>bótox (300)   + ecografía (50 --&gt; gratis)</t>
  </si>
  <si>
    <t xml:space="preserve">2º pago bodytite (1000) + faja (100) </t>
  </si>
  <si>
    <t xml:space="preserve">Rocío Herrera Bautista </t>
  </si>
  <si>
    <t>2ª sesión Morpheus abdomen gbajo + interior de los muslos + bananita + molletillos</t>
  </si>
  <si>
    <t>María José Moreno Godoy</t>
  </si>
  <si>
    <t xml:space="preserve">reserva cita de 1ª ev. </t>
  </si>
  <si>
    <t>Juan Manuel Cuadrado Palmero</t>
  </si>
  <si>
    <t xml:space="preserve">Reserva de cita 1ª ev. </t>
  </si>
  <si>
    <t>Maria Piedad Baca Salinas</t>
  </si>
  <si>
    <t>DUO líneas de marioneta (300) + botox (350)</t>
  </si>
  <si>
    <t>Marta Gutiérrez Gómez</t>
  </si>
  <si>
    <t>sesión Forma facial (100) + Crema de exosomas (80) (-20)</t>
  </si>
  <si>
    <t>Alicia Orihuela Cozar</t>
  </si>
  <si>
    <t>Maria Jesús Capilla Pérez</t>
  </si>
  <si>
    <t>reserva nanofat + plexr párpado superior</t>
  </si>
  <si>
    <t xml:space="preserve">Nani (Cuñada de Alfonso) </t>
  </si>
  <si>
    <t>Reserva de relleno de labios (oferta)</t>
  </si>
  <si>
    <t xml:space="preserve">Gastos tarjeta diciembre: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</si>
</sst>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&quot;/&quot;mm&quot;/&quot;yy"/>
    <numFmt numFmtId="165" formatCode="#,##0.00\ [$€-1]"/>
    <numFmt numFmtId="166" formatCode="dd/mm/yyyy"/>
    <numFmt numFmtId="167" formatCode="#,##0&quot;€&quot;"/>
    <numFmt numFmtId="168" formatCode="mmmm yyyy"/>
    <numFmt numFmtId="169" formatCode="dddd dd/mm/yyyy"/>
    <numFmt numFmtId="170" formatCode="dddd d/m/yyyy"/>
    <numFmt numFmtId="171" formatCode="dd&quot; DE &quot;mmmm&quot; DE &quot;yyyy"/>
    <numFmt numFmtId="172" formatCode="dd/mm"/>
    <numFmt numFmtId="173" formatCode="d/m/yyyy"/>
  </numFmts>
  <fonts count="25">
    <font>
      <sz val="10.0"/>
      <color rgb="FF000000"/>
      <name val="Arial"/>
      <scheme val="minor"/>
    </font>
    <font>
      <b/>
      <color theme="1"/>
      <name val="Montserrat"/>
    </font>
    <font/>
    <font>
      <color theme="1"/>
      <name val="Arial"/>
    </font>
    <font>
      <b/>
      <color theme="1"/>
      <name val="Arial"/>
    </font>
    <font>
      <sz val="12.0"/>
      <color rgb="FF3C4043"/>
      <name val="Times New Roman"/>
    </font>
    <font>
      <color theme="1"/>
      <name val="Arial"/>
      <scheme val="minor"/>
    </font>
    <font>
      <sz val="11.0"/>
      <color rgb="FF000000"/>
      <name val="Arial"/>
    </font>
    <font>
      <sz val="11.0"/>
      <color rgb="FF3C4043"/>
      <name val="Arial"/>
    </font>
    <font>
      <sz val="11.0"/>
      <color rgb="FF3C4043"/>
      <name val="Times New Roman"/>
    </font>
    <font>
      <color rgb="FF000000"/>
      <name val="Arial"/>
    </font>
    <font>
      <sz val="17.0"/>
      <color rgb="FF3C4043"/>
      <name val="Arial"/>
    </font>
    <font>
      <sz val="9.0"/>
      <color theme="1"/>
      <name val="Arial"/>
    </font>
    <font>
      <sz val="9.0"/>
      <color rgb="FF3C4043"/>
      <name val="Times New Roman"/>
    </font>
    <font>
      <sz val="12.0"/>
      <color rgb="FF000000"/>
      <name val="Times New Roman"/>
    </font>
    <font>
      <b/>
      <sz val="12.0"/>
      <color theme="1"/>
      <name val="Arial"/>
    </font>
    <font>
      <sz val="10.0"/>
      <color rgb="FF000000"/>
      <name val="Arial"/>
    </font>
    <font>
      <sz val="10.0"/>
      <color rgb="FF3C4043"/>
      <name val="Arial"/>
    </font>
    <font>
      <sz val="13.0"/>
      <color rgb="FF3C4043"/>
      <name val="Times New Roman"/>
    </font>
    <font>
      <sz val="8.0"/>
      <color rgb="FF3C4043"/>
      <name val="Times New Roman"/>
    </font>
    <font>
      <sz val="12.0"/>
      <color rgb="FF3C4043"/>
      <name val="Arial"/>
    </font>
    <font>
      <sz val="9.0"/>
      <color rgb="FF3C4043"/>
      <name val="Arial"/>
    </font>
    <font>
      <color rgb="FF9FC5E8"/>
      <name val="Arial"/>
    </font>
    <font>
      <b/>
      <color rgb="FFCC0000"/>
      <name val="Arial"/>
    </font>
    <font>
      <sz val="11.0"/>
      <color rgb="FF1F1F1F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0F4F9"/>
        <bgColor rgb="FFF0F4F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164" xfId="0" applyAlignment="1" applyBorder="1" applyFont="1" applyNumberFormat="1">
      <alignment horizontal="center"/>
    </xf>
    <xf borderId="5" fillId="2" fontId="1" numFmtId="165" xfId="0" applyAlignment="1" applyBorder="1" applyFont="1" applyNumberFormat="1">
      <alignment horizontal="center"/>
    </xf>
    <xf borderId="5" fillId="2" fontId="1" numFmtId="165" xfId="0" applyAlignment="1" applyBorder="1" applyFont="1" applyNumberFormat="1">
      <alignment horizontal="right"/>
    </xf>
    <xf borderId="0" fillId="0" fontId="3" numFmtId="0" xfId="0" applyFont="1"/>
    <xf borderId="0" fillId="0" fontId="3" numFmtId="166" xfId="0" applyFont="1" applyNumberFormat="1"/>
    <xf borderId="0" fillId="0" fontId="3" numFmtId="167" xfId="0" applyFont="1" applyNumberFormat="1"/>
    <xf borderId="0" fillId="3" fontId="4" numFmtId="168" xfId="0" applyAlignment="1" applyFill="1" applyFont="1" applyNumberFormat="1">
      <alignment horizontal="center"/>
    </xf>
    <xf borderId="0" fillId="4" fontId="3" numFmtId="0" xfId="0" applyAlignment="1" applyFill="1" applyFont="1">
      <alignment horizontal="center"/>
    </xf>
    <xf borderId="0" fillId="5" fontId="4" numFmtId="0" xfId="0" applyFill="1" applyFont="1"/>
    <xf borderId="0" fillId="5" fontId="3" numFmtId="0" xfId="0" applyFont="1"/>
    <xf borderId="0" fillId="0" fontId="3" numFmtId="3" xfId="0" applyFont="1" applyNumberFormat="1"/>
    <xf borderId="0" fillId="6" fontId="3" numFmtId="0" xfId="0" applyFill="1" applyFont="1"/>
    <xf borderId="0" fillId="7" fontId="5" numFmtId="0" xfId="0" applyFill="1" applyFont="1"/>
    <xf borderId="0" fillId="7" fontId="5" numFmtId="0" xfId="0" applyAlignment="1" applyFont="1">
      <alignment horizontal="left"/>
    </xf>
    <xf borderId="0" fillId="0" fontId="6" numFmtId="0" xfId="0" applyFont="1"/>
    <xf borderId="0" fillId="8" fontId="3" numFmtId="0" xfId="0" applyFill="1" applyFont="1"/>
    <xf borderId="0" fillId="9" fontId="3" numFmtId="0" xfId="0" applyFill="1" applyFont="1"/>
    <xf borderId="0" fillId="0" fontId="3" numFmtId="0" xfId="0" applyAlignment="1" applyFont="1">
      <alignment vertical="top"/>
    </xf>
    <xf borderId="0" fillId="0" fontId="7" numFmtId="0" xfId="0" applyFont="1"/>
    <xf borderId="0" fillId="7" fontId="8" numFmtId="0" xfId="0" applyFont="1"/>
    <xf borderId="0" fillId="7" fontId="9" numFmtId="0" xfId="0" applyFont="1"/>
    <xf borderId="0" fillId="0" fontId="3" numFmtId="169" xfId="0" applyFont="1" applyNumberFormat="1"/>
    <xf borderId="0" fillId="9" fontId="4" numFmtId="168" xfId="0" applyAlignment="1" applyFont="1" applyNumberFormat="1">
      <alignment horizontal="center"/>
    </xf>
    <xf borderId="0" fillId="9" fontId="4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0" fontId="4" numFmtId="0" xfId="0" applyFont="1"/>
    <xf borderId="0" fillId="7" fontId="3" numFmtId="166" xfId="0" applyFont="1" applyNumberFormat="1"/>
    <xf borderId="0" fillId="7" fontId="3" numFmtId="0" xfId="0" applyFont="1"/>
    <xf borderId="0" fillId="7" fontId="10" numFmtId="0" xfId="0" applyAlignment="1" applyFont="1">
      <alignment horizontal="right"/>
    </xf>
    <xf borderId="0" fillId="7" fontId="10" numFmtId="0" xfId="0" applyAlignment="1" applyFont="1">
      <alignment horizontal="left" vertical="top"/>
    </xf>
    <xf borderId="0" fillId="7" fontId="11" numFmtId="0" xfId="0" applyFont="1"/>
    <xf borderId="0" fillId="7" fontId="11" numFmtId="0" xfId="0" applyAlignment="1" applyFont="1">
      <alignment vertical="top"/>
    </xf>
    <xf borderId="0" fillId="9" fontId="4" numFmtId="0" xfId="0" applyFont="1"/>
    <xf borderId="0" fillId="2" fontId="3" numFmtId="0" xfId="0" applyFont="1"/>
    <xf borderId="0" fillId="10" fontId="4" numFmtId="0" xfId="0" applyFill="1" applyFont="1"/>
    <xf borderId="0" fillId="10" fontId="3" numFmtId="0" xfId="0" applyFont="1"/>
    <xf borderId="0" fillId="0" fontId="4" numFmtId="169" xfId="0" applyAlignment="1" applyFont="1" applyNumberFormat="1">
      <alignment vertical="top"/>
    </xf>
    <xf borderId="0" fillId="8" fontId="12" numFmtId="0" xfId="0" applyFont="1"/>
    <xf borderId="0" fillId="8" fontId="4" numFmtId="0" xfId="0" applyFont="1"/>
    <xf borderId="0" fillId="0" fontId="4" numFmtId="169" xfId="0" applyFont="1" applyNumberFormat="1"/>
    <xf borderId="0" fillId="7" fontId="10" numFmtId="0" xfId="0" applyAlignment="1" applyFont="1">
      <alignment horizontal="left"/>
    </xf>
    <xf borderId="0" fillId="7" fontId="13" numFmtId="0" xfId="0" applyFont="1"/>
    <xf borderId="0" fillId="7" fontId="14" numFmtId="0" xfId="0" applyFont="1"/>
    <xf borderId="0" fillId="9" fontId="3" numFmtId="0" xfId="0" applyAlignment="1" applyFont="1">
      <alignment horizontal="center"/>
    </xf>
    <xf borderId="0" fillId="11" fontId="3" numFmtId="0" xfId="0" applyFill="1" applyFont="1"/>
    <xf borderId="0" fillId="10" fontId="3" numFmtId="169" xfId="0" applyAlignment="1" applyFont="1" applyNumberFormat="1">
      <alignment horizontal="center"/>
    </xf>
    <xf borderId="0" fillId="9" fontId="15" numFmtId="169" xfId="0" applyAlignment="1" applyFont="1" applyNumberFormat="1">
      <alignment horizontal="center"/>
    </xf>
    <xf borderId="0" fillId="8" fontId="3" numFmtId="169" xfId="0" applyAlignment="1" applyFont="1" applyNumberFormat="1">
      <alignment horizontal="center"/>
    </xf>
    <xf borderId="0" fillId="8" fontId="4" numFmtId="169" xfId="0" applyFont="1" applyNumberFormat="1"/>
    <xf borderId="0" fillId="0" fontId="16" numFmtId="0" xfId="0" applyFont="1"/>
    <xf borderId="0" fillId="7" fontId="17" numFmtId="0" xfId="0" applyFont="1"/>
    <xf borderId="0" fillId="8" fontId="3" numFmtId="169" xfId="0" applyFont="1" applyNumberFormat="1"/>
    <xf borderId="0" fillId="2" fontId="3" numFmtId="169" xfId="0" applyFont="1" applyNumberFormat="1"/>
    <xf borderId="0" fillId="0" fontId="3" numFmtId="170" xfId="0" applyFont="1" applyNumberFormat="1"/>
    <xf borderId="0" fillId="7" fontId="4" numFmtId="0" xfId="0" applyFont="1"/>
    <xf borderId="0" fillId="10" fontId="4" numFmtId="171" xfId="0" applyAlignment="1" applyFont="1" applyNumberFormat="1">
      <alignment horizontal="center"/>
    </xf>
    <xf borderId="0" fillId="0" fontId="3" numFmtId="172" xfId="0" applyFont="1" applyNumberFormat="1"/>
    <xf borderId="0" fillId="10" fontId="4" numFmtId="0" xfId="0" applyAlignment="1" applyFont="1">
      <alignment horizontal="center"/>
    </xf>
    <xf borderId="0" fillId="7" fontId="18" numFmtId="0" xfId="0" applyFont="1"/>
    <xf borderId="0" fillId="7" fontId="19" numFmtId="0" xfId="0" applyFont="1"/>
    <xf borderId="0" fillId="0" fontId="3" numFmtId="0" xfId="0" applyAlignment="1" applyFont="1">
      <alignment horizontal="left"/>
    </xf>
    <xf borderId="0" fillId="0" fontId="3" numFmtId="166" xfId="0" applyAlignment="1" applyFont="1" applyNumberFormat="1">
      <alignment horizontal="right"/>
    </xf>
    <xf borderId="0" fillId="3" fontId="3" numFmtId="0" xfId="0" applyFont="1"/>
    <xf borderId="0" fillId="7" fontId="20" numFmtId="0" xfId="0" applyFont="1"/>
    <xf borderId="0" fillId="7" fontId="21" numFmtId="0" xfId="0" applyFont="1"/>
    <xf borderId="0" fillId="0" fontId="3" numFmtId="0" xfId="0" applyAlignment="1" applyFont="1">
      <alignment horizontal="right"/>
    </xf>
    <xf borderId="0" fillId="9" fontId="3" numFmtId="169" xfId="0" applyFont="1" applyNumberFormat="1"/>
    <xf borderId="0" fillId="9" fontId="10" numFmtId="0" xfId="0" applyFont="1"/>
    <xf borderId="0" fillId="0" fontId="22" numFmtId="0" xfId="0" applyFont="1"/>
    <xf borderId="0" fillId="0" fontId="23" numFmtId="0" xfId="0" applyFont="1"/>
    <xf borderId="0" fillId="0" fontId="3" numFmtId="173" xfId="0" applyFont="1" applyNumberFormat="1"/>
    <xf borderId="0" fillId="9" fontId="22" numFmtId="0" xfId="0" applyFont="1"/>
    <xf borderId="0" fillId="12" fontId="24" numFmtId="0" xfId="0" applyFill="1" applyFon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88"/>
    <col customWidth="1" min="3" max="3" width="70.88"/>
    <col customWidth="1" min="4" max="4" width="11.88"/>
    <col customWidth="1" min="5" max="5" width="9.0"/>
    <col customWidth="1" min="6" max="6" width="10.13"/>
    <col customWidth="1" min="7" max="7" width="14.63"/>
    <col customWidth="1" min="8" max="9" width="15.63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7" t="s">
        <v>9</v>
      </c>
      <c r="L2" s="7" t="s">
        <v>10</v>
      </c>
      <c r="M2" s="7" t="s">
        <v>11</v>
      </c>
      <c r="N2" s="7" t="s">
        <v>12</v>
      </c>
    </row>
    <row r="3" ht="15.75" customHeight="1">
      <c r="A3" s="8"/>
      <c r="B3" s="7"/>
      <c r="C3" s="7"/>
      <c r="D3" s="9"/>
      <c r="E3" s="7"/>
      <c r="I3" s="7"/>
      <c r="U3" s="10">
        <v>45292.0</v>
      </c>
    </row>
    <row r="4" ht="15.75" customHeight="1">
      <c r="A4" s="8"/>
      <c r="B4" s="7"/>
      <c r="C4" s="7"/>
      <c r="D4" s="9"/>
      <c r="E4" s="7"/>
      <c r="I4" s="7"/>
      <c r="U4" s="7" t="s">
        <v>13</v>
      </c>
      <c r="V4" s="7" t="s">
        <v>10</v>
      </c>
      <c r="W4" s="7" t="s">
        <v>11</v>
      </c>
      <c r="X4" s="7" t="s">
        <v>14</v>
      </c>
    </row>
    <row r="5" ht="15.75" customHeight="1">
      <c r="A5" s="8"/>
      <c r="B5" s="7"/>
      <c r="C5" s="7"/>
      <c r="D5" s="9"/>
      <c r="E5" s="7"/>
      <c r="I5" s="7"/>
      <c r="U5" s="7">
        <v>2500.0</v>
      </c>
      <c r="V5" s="7">
        <v>0.0</v>
      </c>
      <c r="W5" s="7">
        <v>2500.0</v>
      </c>
    </row>
    <row r="6" ht="15.75" customHeight="1">
      <c r="A6" s="8"/>
      <c r="B6" s="7"/>
      <c r="C6" s="7"/>
      <c r="D6" s="9"/>
      <c r="E6" s="7"/>
      <c r="I6" s="7"/>
      <c r="U6" s="7">
        <v>1450.0</v>
      </c>
      <c r="V6" s="7">
        <v>600.0</v>
      </c>
      <c r="W6" s="7">
        <v>850.0</v>
      </c>
    </row>
    <row r="7" ht="15.75" customHeight="1">
      <c r="A7" s="8"/>
      <c r="B7" s="7"/>
      <c r="C7" s="7"/>
      <c r="D7" s="9"/>
      <c r="E7" s="7"/>
      <c r="I7" s="7"/>
      <c r="U7" s="7">
        <v>750.0</v>
      </c>
      <c r="V7" s="7">
        <v>750.0</v>
      </c>
      <c r="W7" s="7">
        <v>0.0</v>
      </c>
    </row>
    <row r="8" ht="15.75" customHeight="1">
      <c r="A8" s="8"/>
      <c r="B8" s="7"/>
      <c r="C8" s="7"/>
      <c r="D8" s="9"/>
      <c r="E8" s="7"/>
      <c r="I8" s="7"/>
      <c r="U8" s="7">
        <v>2540.0</v>
      </c>
      <c r="V8" s="7">
        <v>660.0</v>
      </c>
      <c r="W8" s="7">
        <v>1880.0</v>
      </c>
    </row>
    <row r="9" ht="15.75" customHeight="1">
      <c r="A9" s="8"/>
      <c r="B9" s="7"/>
      <c r="C9" s="7"/>
      <c r="D9" s="9"/>
      <c r="E9" s="7"/>
      <c r="I9" s="7"/>
      <c r="U9" s="7">
        <v>150.0</v>
      </c>
      <c r="V9" s="7">
        <v>0.0</v>
      </c>
      <c r="W9" s="7">
        <v>150.0</v>
      </c>
    </row>
    <row r="10" ht="15.75" customHeight="1">
      <c r="A10" s="8"/>
      <c r="B10" s="7"/>
      <c r="C10" s="7"/>
      <c r="D10" s="9"/>
      <c r="E10" s="7"/>
      <c r="I10" s="7"/>
      <c r="U10" s="7">
        <v>1920.0</v>
      </c>
      <c r="V10" s="7">
        <v>1470.0</v>
      </c>
      <c r="W10" s="7">
        <v>450.0</v>
      </c>
    </row>
    <row r="11" ht="15.75" customHeight="1">
      <c r="A11" s="8"/>
      <c r="B11" s="7"/>
      <c r="C11" s="7"/>
      <c r="D11" s="9"/>
      <c r="E11" s="7"/>
      <c r="I11" s="7"/>
      <c r="K11" s="10">
        <v>45323.0</v>
      </c>
      <c r="P11" s="11" t="s">
        <v>15</v>
      </c>
      <c r="U11" s="7">
        <v>2260.0</v>
      </c>
      <c r="V11" s="7">
        <v>1410.0</v>
      </c>
      <c r="W11" s="7">
        <v>850.0</v>
      </c>
    </row>
    <row r="12" ht="15.75" customHeight="1">
      <c r="A12" s="8">
        <v>45331.0</v>
      </c>
      <c r="B12" s="7" t="s">
        <v>16</v>
      </c>
      <c r="C12" s="7" t="s">
        <v>17</v>
      </c>
      <c r="D12" s="9">
        <v>150.0</v>
      </c>
      <c r="E12" s="7">
        <v>150.0</v>
      </c>
      <c r="F12" s="7">
        <v>0.0</v>
      </c>
      <c r="I12" s="7">
        <v>150.0</v>
      </c>
      <c r="K12" s="7" t="s">
        <v>13</v>
      </c>
      <c r="L12" s="7" t="s">
        <v>10</v>
      </c>
      <c r="M12" s="7" t="s">
        <v>11</v>
      </c>
      <c r="N12" s="7" t="s">
        <v>14</v>
      </c>
      <c r="P12" s="7" t="s">
        <v>18</v>
      </c>
      <c r="Q12" s="7" t="s">
        <v>19</v>
      </c>
      <c r="R12" s="7" t="s">
        <v>20</v>
      </c>
      <c r="S12" s="7" t="s">
        <v>21</v>
      </c>
      <c r="U12" s="7">
        <v>1000.0</v>
      </c>
      <c r="V12" s="7">
        <v>500.0</v>
      </c>
      <c r="W12" s="7">
        <v>500.0</v>
      </c>
    </row>
    <row r="13" ht="15.75" customHeight="1">
      <c r="B13" s="7" t="s">
        <v>22</v>
      </c>
      <c r="C13" s="7" t="s">
        <v>23</v>
      </c>
      <c r="D13" s="7">
        <v>300.0</v>
      </c>
      <c r="E13" s="7">
        <v>0.0</v>
      </c>
      <c r="F13" s="7">
        <v>0.0</v>
      </c>
      <c r="G13" s="7">
        <v>300.0</v>
      </c>
      <c r="I13" s="7">
        <v>300.0</v>
      </c>
      <c r="K13" s="7">
        <v>1170.0</v>
      </c>
      <c r="L13" s="7">
        <v>300.0</v>
      </c>
      <c r="M13" s="7">
        <v>870.0</v>
      </c>
      <c r="N13" s="7">
        <v>0.0</v>
      </c>
      <c r="P13" s="7" t="s">
        <v>24</v>
      </c>
      <c r="Q13" s="7">
        <v>8990.0</v>
      </c>
      <c r="R13" s="7">
        <v>11110.0</v>
      </c>
      <c r="S13" s="7">
        <v>0.0</v>
      </c>
      <c r="T13" s="7">
        <v>20100.0</v>
      </c>
      <c r="U13" s="7">
        <v>2000.0</v>
      </c>
      <c r="V13" s="7">
        <v>1100.0</v>
      </c>
      <c r="W13" s="7">
        <v>900.0</v>
      </c>
    </row>
    <row r="14" ht="15.75" customHeight="1">
      <c r="A14" s="12" t="s">
        <v>25</v>
      </c>
      <c r="B14" s="13"/>
      <c r="C14" s="13"/>
      <c r="D14" s="13">
        <v>450.0</v>
      </c>
      <c r="E14" s="13">
        <v>150.0</v>
      </c>
      <c r="F14" s="13">
        <v>0.0</v>
      </c>
      <c r="G14" s="13">
        <v>300.0</v>
      </c>
      <c r="H14" s="13"/>
      <c r="I14" s="13">
        <f>SUM(I12:I13)</f>
        <v>450</v>
      </c>
      <c r="K14" s="7">
        <v>500.0</v>
      </c>
      <c r="L14" s="7">
        <v>500.0</v>
      </c>
      <c r="M14" s="7">
        <v>0.0</v>
      </c>
      <c r="N14" s="7">
        <v>0.0</v>
      </c>
      <c r="P14" s="7" t="s">
        <v>26</v>
      </c>
      <c r="Q14" s="7">
        <v>12290.0</v>
      </c>
      <c r="R14" s="7">
        <v>17105.0</v>
      </c>
      <c r="S14" s="7">
        <v>2750.0</v>
      </c>
      <c r="T14" s="7">
        <v>27635.0</v>
      </c>
      <c r="U14" s="7">
        <v>1700.0</v>
      </c>
      <c r="V14" s="7">
        <v>1100.0</v>
      </c>
      <c r="W14" s="7">
        <v>600.0</v>
      </c>
    </row>
    <row r="15" ht="15.75" customHeight="1">
      <c r="A15" s="8">
        <v>45334.0</v>
      </c>
      <c r="B15" s="7" t="s">
        <v>27</v>
      </c>
      <c r="C15" s="7" t="s">
        <v>28</v>
      </c>
      <c r="D15" s="7">
        <v>150.0</v>
      </c>
      <c r="E15" s="7">
        <v>0.0</v>
      </c>
      <c r="F15" s="7">
        <v>150.0</v>
      </c>
      <c r="I15" s="7">
        <v>150.0</v>
      </c>
      <c r="K15" s="7">
        <v>1650.0</v>
      </c>
      <c r="L15" s="7">
        <v>350.0</v>
      </c>
      <c r="M15" s="7">
        <v>1300.0</v>
      </c>
      <c r="N15" s="7">
        <v>0.0</v>
      </c>
      <c r="P15" s="7" t="s">
        <v>29</v>
      </c>
      <c r="Q15" s="7">
        <v>10700.0</v>
      </c>
      <c r="R15" s="7">
        <v>12110.0</v>
      </c>
      <c r="S15" s="7">
        <v>1600.0</v>
      </c>
      <c r="T15" s="7">
        <v>24410.0</v>
      </c>
      <c r="U15" s="7">
        <v>1200.0</v>
      </c>
      <c r="V15" s="7">
        <v>600.0</v>
      </c>
      <c r="W15" s="7">
        <v>600.0</v>
      </c>
    </row>
    <row r="16" ht="15.75" customHeight="1">
      <c r="B16" s="7" t="s">
        <v>30</v>
      </c>
      <c r="C16" s="7" t="s">
        <v>31</v>
      </c>
      <c r="D16" s="7">
        <v>150.0</v>
      </c>
      <c r="E16" s="7">
        <v>0.0</v>
      </c>
      <c r="F16" s="7">
        <v>150.0</v>
      </c>
      <c r="I16" s="7">
        <v>150.0</v>
      </c>
      <c r="K16" s="7">
        <v>1720.0</v>
      </c>
      <c r="L16" s="7">
        <v>800.0</v>
      </c>
      <c r="M16" s="7">
        <v>920.0</v>
      </c>
      <c r="N16" s="7">
        <v>0.0</v>
      </c>
      <c r="P16" s="7" t="s">
        <v>32</v>
      </c>
      <c r="Q16" s="14" t="s">
        <v>33</v>
      </c>
      <c r="R16" s="7">
        <v>20600.0</v>
      </c>
      <c r="S16" s="7">
        <v>7010.0</v>
      </c>
      <c r="T16" s="7">
        <v>45910.0</v>
      </c>
      <c r="U16" s="7">
        <v>900.0</v>
      </c>
      <c r="V16" s="7">
        <v>300.0</v>
      </c>
      <c r="W16" s="7">
        <v>600.0</v>
      </c>
    </row>
    <row r="17" ht="15.75" customHeight="1">
      <c r="B17" s="7" t="s">
        <v>34</v>
      </c>
      <c r="C17" s="7" t="s">
        <v>31</v>
      </c>
      <c r="D17" s="7">
        <v>200.0</v>
      </c>
      <c r="E17" s="7">
        <v>0.0</v>
      </c>
      <c r="F17" s="7">
        <v>200.0</v>
      </c>
      <c r="I17" s="7">
        <v>200.0</v>
      </c>
      <c r="K17" s="7">
        <v>450.0</v>
      </c>
      <c r="L17" s="7">
        <v>150.0</v>
      </c>
      <c r="N17" s="7">
        <v>300.0</v>
      </c>
      <c r="P17" s="7" t="s">
        <v>35</v>
      </c>
      <c r="Q17" s="7">
        <v>15435.0</v>
      </c>
      <c r="R17" s="7">
        <v>18580.0</v>
      </c>
      <c r="S17" s="7">
        <v>1800.0</v>
      </c>
      <c r="T17" s="7">
        <v>33430.0</v>
      </c>
      <c r="U17" s="7">
        <v>1730.0</v>
      </c>
      <c r="V17" s="7">
        <v>500.0</v>
      </c>
      <c r="W17" s="7">
        <v>1230.0</v>
      </c>
    </row>
    <row r="18" ht="15.75" customHeight="1">
      <c r="A18" s="15" t="s">
        <v>25</v>
      </c>
      <c r="B18" s="15"/>
      <c r="C18" s="15"/>
      <c r="D18" s="15">
        <f>SUM(D15:D17)</f>
        <v>500</v>
      </c>
      <c r="E18" s="15">
        <v>0.0</v>
      </c>
      <c r="F18" s="15">
        <v>500.0</v>
      </c>
      <c r="G18" s="15"/>
      <c r="H18" s="15"/>
      <c r="I18" s="15">
        <f>SUM(I15:I17)</f>
        <v>500</v>
      </c>
      <c r="K18" s="7">
        <v>500.0</v>
      </c>
      <c r="L18" s="7">
        <v>250.0</v>
      </c>
      <c r="M18" s="7">
        <v>500.0</v>
      </c>
      <c r="N18" s="7">
        <v>1800.0</v>
      </c>
      <c r="P18" s="7" t="s">
        <v>36</v>
      </c>
      <c r="Q18" s="7">
        <v>25650.0</v>
      </c>
      <c r="R18" s="7">
        <v>9550.0</v>
      </c>
      <c r="S18" s="7">
        <v>6200.0</v>
      </c>
      <c r="T18" s="7">
        <f>SUM(Q18:S18)</f>
        <v>41400</v>
      </c>
      <c r="U18" s="7">
        <f t="shared" ref="U18:W18" si="1">SUM(U5:U17)</f>
        <v>20100</v>
      </c>
      <c r="V18" s="7">
        <f t="shared" si="1"/>
        <v>8990</v>
      </c>
      <c r="W18" s="7">
        <f t="shared" si="1"/>
        <v>11110</v>
      </c>
    </row>
    <row r="19" ht="15.75" customHeight="1">
      <c r="A19" s="8">
        <v>45335.0</v>
      </c>
      <c r="B19" s="7" t="s">
        <v>37</v>
      </c>
      <c r="C19" s="7" t="s">
        <v>38</v>
      </c>
      <c r="D19" s="7">
        <v>300.0</v>
      </c>
      <c r="E19" s="7">
        <v>50.0</v>
      </c>
      <c r="F19" s="7">
        <v>250.0</v>
      </c>
      <c r="I19" s="7">
        <v>300.0</v>
      </c>
      <c r="K19" s="7">
        <v>560.0</v>
      </c>
      <c r="L19" s="7">
        <v>1250.0</v>
      </c>
      <c r="M19" s="7">
        <v>310.0</v>
      </c>
      <c r="N19" s="7">
        <v>0.0</v>
      </c>
      <c r="P19" s="7" t="s">
        <v>39</v>
      </c>
      <c r="Q19" s="7">
        <v>7525.0</v>
      </c>
      <c r="R19" s="7">
        <v>4745.0</v>
      </c>
      <c r="S19" s="7">
        <v>0.0</v>
      </c>
      <c r="T19" s="7">
        <v>12265.0</v>
      </c>
    </row>
    <row r="20" ht="15.75" customHeight="1">
      <c r="B20" s="16" t="s">
        <v>40</v>
      </c>
      <c r="C20" s="17" t="s">
        <v>41</v>
      </c>
      <c r="D20" s="7">
        <v>200.0</v>
      </c>
      <c r="E20" s="7">
        <v>200.0</v>
      </c>
      <c r="I20" s="7">
        <v>200.0</v>
      </c>
      <c r="K20" s="7">
        <v>1850.0</v>
      </c>
      <c r="L20" s="7">
        <v>450.0</v>
      </c>
      <c r="M20" s="7">
        <v>600.0</v>
      </c>
      <c r="N20" s="7">
        <v>0.0</v>
      </c>
      <c r="P20" s="7" t="s">
        <v>42</v>
      </c>
      <c r="Q20" s="7">
        <v>300.0</v>
      </c>
      <c r="R20" s="7">
        <v>1974.29</v>
      </c>
      <c r="S20" s="7">
        <v>0.0</v>
      </c>
      <c r="T20" s="7">
        <v>2274.0</v>
      </c>
    </row>
    <row r="21" ht="15.75" customHeight="1">
      <c r="B21" s="7" t="s">
        <v>43</v>
      </c>
      <c r="C21" s="7" t="s">
        <v>44</v>
      </c>
      <c r="D21" s="7">
        <v>60.0</v>
      </c>
      <c r="F21" s="7">
        <v>60.0</v>
      </c>
      <c r="I21" s="7">
        <v>60.0</v>
      </c>
      <c r="K21" s="7">
        <v>1450.0</v>
      </c>
      <c r="L21" s="7">
        <v>300.0</v>
      </c>
      <c r="M21" s="7">
        <v>1450.0</v>
      </c>
      <c r="N21" s="7">
        <v>0.0</v>
      </c>
      <c r="P21" s="7" t="s">
        <v>45</v>
      </c>
      <c r="Q21" s="7">
        <v>5165.0</v>
      </c>
      <c r="R21" s="7">
        <v>9775.0</v>
      </c>
      <c r="S21" s="7">
        <v>750.0</v>
      </c>
      <c r="T21" s="7">
        <v>16450.0</v>
      </c>
    </row>
    <row r="22" ht="15.75" customHeight="1">
      <c r="A22" s="15" t="s">
        <v>25</v>
      </c>
      <c r="B22" s="15"/>
      <c r="C22" s="15"/>
      <c r="D22" s="15">
        <f>SUM(D19:D21)</f>
        <v>560</v>
      </c>
      <c r="E22" s="15">
        <v>250.0</v>
      </c>
      <c r="F22" s="15">
        <v>310.0</v>
      </c>
      <c r="G22" s="15"/>
      <c r="H22" s="15"/>
      <c r="I22" s="15">
        <f>SUM(I19:I21)</f>
        <v>560</v>
      </c>
      <c r="K22" s="7">
        <v>450.0</v>
      </c>
      <c r="L22" s="7">
        <v>1280.0</v>
      </c>
      <c r="M22" s="7">
        <v>1200.0</v>
      </c>
      <c r="N22" s="7">
        <v>0.0</v>
      </c>
      <c r="P22" s="7" t="s">
        <v>46</v>
      </c>
      <c r="Q22" s="7">
        <v>7035.0</v>
      </c>
      <c r="R22" s="7">
        <v>8265.0</v>
      </c>
      <c r="S22" s="7">
        <v>3950.0</v>
      </c>
      <c r="T22" s="7">
        <v>19250.0</v>
      </c>
    </row>
    <row r="23" ht="15.75" customHeight="1">
      <c r="A23" s="8">
        <v>45336.0</v>
      </c>
      <c r="B23" s="7" t="s">
        <v>30</v>
      </c>
      <c r="C23" s="7" t="s">
        <v>47</v>
      </c>
      <c r="D23" s="7">
        <v>150.0</v>
      </c>
      <c r="E23" s="7">
        <v>150.0</v>
      </c>
      <c r="I23" s="7">
        <v>150.0</v>
      </c>
      <c r="K23" s="7">
        <v>3300.0</v>
      </c>
      <c r="L23" s="7">
        <v>1000.0</v>
      </c>
      <c r="M23" s="7">
        <v>350.0</v>
      </c>
      <c r="N23" s="7">
        <v>0.0</v>
      </c>
      <c r="P23" s="7" t="s">
        <v>48</v>
      </c>
      <c r="Q23" s="7">
        <v>6750.0</v>
      </c>
      <c r="R23" s="7">
        <v>9660.0</v>
      </c>
      <c r="S23" s="7">
        <v>4340.0</v>
      </c>
      <c r="T23" s="7">
        <v>21090.0</v>
      </c>
    </row>
    <row r="24" ht="15.75" customHeight="1">
      <c r="B24" s="7" t="s">
        <v>49</v>
      </c>
      <c r="C24" s="7" t="s">
        <v>50</v>
      </c>
      <c r="D24" s="7">
        <v>400.0</v>
      </c>
      <c r="F24" s="7">
        <v>400.0</v>
      </c>
      <c r="H24" s="7">
        <v>400.0</v>
      </c>
      <c r="K24" s="7">
        <v>1630.0</v>
      </c>
      <c r="L24" s="7">
        <v>460.0</v>
      </c>
      <c r="M24" s="7">
        <v>1700.0</v>
      </c>
      <c r="N24" s="7">
        <v>0.0</v>
      </c>
      <c r="P24" s="7" t="s">
        <v>51</v>
      </c>
      <c r="Q24" s="7">
        <v>12355.0</v>
      </c>
      <c r="R24" s="7">
        <v>7965.0</v>
      </c>
      <c r="S24" s="7">
        <v>3030.0</v>
      </c>
      <c r="T24" s="7">
        <v>23360.0</v>
      </c>
    </row>
    <row r="25" ht="15.75" customHeight="1">
      <c r="B25" s="7" t="s">
        <v>52</v>
      </c>
      <c r="C25" s="7" t="s">
        <v>53</v>
      </c>
      <c r="D25" s="7">
        <v>200.0</v>
      </c>
      <c r="E25" s="7">
        <v>200.0</v>
      </c>
      <c r="I25" s="7">
        <v>200.0</v>
      </c>
      <c r="K25" s="7">
        <v>2700.0</v>
      </c>
      <c r="L25" s="7">
        <v>60.0</v>
      </c>
      <c r="M25" s="7">
        <v>1600.0</v>
      </c>
      <c r="N25" s="7">
        <v>0.0</v>
      </c>
      <c r="Q25" s="18">
        <f t="shared" ref="Q25:S25" si="2">SUM(Q13:Q24)</f>
        <v>112195</v>
      </c>
      <c r="R25" s="18">
        <f t="shared" si="2"/>
        <v>131439.29</v>
      </c>
      <c r="S25" s="18">
        <f t="shared" si="2"/>
        <v>31430</v>
      </c>
    </row>
    <row r="26" ht="15.75" customHeight="1">
      <c r="B26" s="7" t="s">
        <v>54</v>
      </c>
      <c r="C26" s="16" t="s">
        <v>55</v>
      </c>
      <c r="D26" s="7">
        <v>200.0</v>
      </c>
      <c r="F26" s="7">
        <v>200.0</v>
      </c>
      <c r="I26" s="7">
        <v>200.0</v>
      </c>
      <c r="K26" s="7">
        <v>2060.0</v>
      </c>
      <c r="L26" s="7">
        <v>1750.0</v>
      </c>
      <c r="M26" s="7">
        <v>600.0</v>
      </c>
      <c r="N26" s="7">
        <v>0.0</v>
      </c>
    </row>
    <row r="27" ht="15.75" customHeight="1">
      <c r="B27" s="7" t="s">
        <v>56</v>
      </c>
      <c r="C27" s="7" t="s">
        <v>57</v>
      </c>
      <c r="D27" s="7">
        <v>900.0</v>
      </c>
      <c r="E27" s="7">
        <v>900.0</v>
      </c>
      <c r="H27" s="7">
        <v>900.0</v>
      </c>
      <c r="K27" s="7">
        <v>60.0</v>
      </c>
      <c r="L27" s="7">
        <v>350.0</v>
      </c>
      <c r="M27" s="7">
        <v>1860.0</v>
      </c>
      <c r="N27" s="7">
        <v>0.0</v>
      </c>
    </row>
    <row r="28" ht="15.75" customHeight="1">
      <c r="A28" s="15" t="s">
        <v>25</v>
      </c>
      <c r="B28" s="15"/>
      <c r="C28" s="15"/>
      <c r="D28" s="15">
        <f t="shared" ref="D28:F28" si="3">SUM(D23:D27)</f>
        <v>1850</v>
      </c>
      <c r="E28" s="15">
        <f t="shared" si="3"/>
        <v>1250</v>
      </c>
      <c r="F28" s="15">
        <f t="shared" si="3"/>
        <v>600</v>
      </c>
      <c r="G28" s="15"/>
      <c r="H28" s="15">
        <f t="shared" ref="H28:I28" si="4">SUM(H23:H27)</f>
        <v>1300</v>
      </c>
      <c r="I28" s="15">
        <f t="shared" si="4"/>
        <v>550</v>
      </c>
      <c r="K28" s="7">
        <v>2350.0</v>
      </c>
      <c r="L28" s="7">
        <v>1750.0</v>
      </c>
      <c r="M28" s="7">
        <v>600.0</v>
      </c>
      <c r="N28" s="7">
        <v>0.0</v>
      </c>
    </row>
    <row r="29" ht="15.75" customHeight="1">
      <c r="A29" s="8">
        <v>45337.0</v>
      </c>
      <c r="B29" s="7" t="s">
        <v>16</v>
      </c>
      <c r="C29" s="7" t="s">
        <v>58</v>
      </c>
      <c r="D29" s="7">
        <v>450.0</v>
      </c>
      <c r="F29" s="7">
        <v>450.0</v>
      </c>
      <c r="I29" s="7">
        <v>450.0</v>
      </c>
      <c r="K29" s="7">
        <v>2210.0</v>
      </c>
      <c r="L29" s="7">
        <v>350.0</v>
      </c>
      <c r="M29" s="7">
        <v>1860.0</v>
      </c>
      <c r="N29" s="7">
        <v>0.0</v>
      </c>
    </row>
    <row r="30" ht="15.75" customHeight="1">
      <c r="B30" s="7" t="s">
        <v>59</v>
      </c>
      <c r="C30" s="7" t="s">
        <v>60</v>
      </c>
      <c r="D30" s="7">
        <v>450.0</v>
      </c>
      <c r="F30" s="7">
        <v>450.0</v>
      </c>
      <c r="I30" s="7">
        <v>450.0</v>
      </c>
      <c r="K30" s="19">
        <v>3025.0</v>
      </c>
      <c r="L30" s="19">
        <v>940.0</v>
      </c>
      <c r="M30" s="19">
        <v>1385.0</v>
      </c>
      <c r="N30" s="19">
        <v>650.0</v>
      </c>
    </row>
    <row r="31" ht="15.75" customHeight="1">
      <c r="B31" s="7" t="s">
        <v>30</v>
      </c>
      <c r="C31" s="7" t="s">
        <v>47</v>
      </c>
      <c r="D31" s="7">
        <v>150.0</v>
      </c>
      <c r="F31" s="7">
        <v>150.0</v>
      </c>
      <c r="I31" s="7">
        <v>150.0</v>
      </c>
      <c r="K31" s="7">
        <f t="shared" ref="K31:N31" si="5">SUM(K13:K30)</f>
        <v>27635</v>
      </c>
      <c r="L31" s="7">
        <f t="shared" si="5"/>
        <v>12290</v>
      </c>
      <c r="M31" s="7">
        <f t="shared" si="5"/>
        <v>17105</v>
      </c>
      <c r="N31" s="7">
        <f t="shared" si="5"/>
        <v>2750</v>
      </c>
    </row>
    <row r="32" ht="15.75" customHeight="1">
      <c r="B32" s="7" t="s">
        <v>61</v>
      </c>
      <c r="C32" s="7" t="s">
        <v>62</v>
      </c>
      <c r="D32" s="7">
        <v>100.0</v>
      </c>
      <c r="F32" s="7">
        <v>100.0</v>
      </c>
      <c r="I32" s="7">
        <v>100.0</v>
      </c>
    </row>
    <row r="33" ht="15.75" customHeight="1">
      <c r="A33" s="13" t="s">
        <v>25</v>
      </c>
      <c r="B33" s="13"/>
      <c r="C33" s="13"/>
      <c r="D33" s="13">
        <f>SUM(D29:D32)</f>
        <v>1150</v>
      </c>
      <c r="E33" s="13"/>
      <c r="F33" s="13">
        <f>SUM(F29:F32)</f>
        <v>1150</v>
      </c>
      <c r="G33" s="13"/>
      <c r="H33" s="13"/>
      <c r="I33" s="13">
        <f>SUM(I29:I32)</f>
        <v>1150</v>
      </c>
    </row>
    <row r="34" ht="15.75" customHeight="1">
      <c r="A34" s="8">
        <v>45338.0</v>
      </c>
      <c r="B34" s="7" t="s">
        <v>63</v>
      </c>
      <c r="C34" s="7" t="s">
        <v>64</v>
      </c>
      <c r="D34" s="7">
        <v>450.0</v>
      </c>
      <c r="E34" s="7">
        <v>450.0</v>
      </c>
      <c r="I34" s="7">
        <v>450.0</v>
      </c>
    </row>
    <row r="35" ht="15.75" customHeight="1">
      <c r="A35" s="13" t="s">
        <v>65</v>
      </c>
      <c r="B35" s="13"/>
      <c r="C35" s="13"/>
      <c r="D35" s="13">
        <v>450.0</v>
      </c>
      <c r="E35" s="13">
        <v>450.0</v>
      </c>
      <c r="F35" s="13"/>
      <c r="G35" s="13"/>
      <c r="H35" s="13"/>
      <c r="I35" s="13">
        <v>450.0</v>
      </c>
    </row>
    <row r="36" ht="15.75" customHeight="1">
      <c r="A36" s="8">
        <v>45341.0</v>
      </c>
      <c r="B36" s="7" t="s">
        <v>66</v>
      </c>
      <c r="C36" s="7" t="s">
        <v>67</v>
      </c>
      <c r="D36" s="7">
        <v>2200.0</v>
      </c>
      <c r="F36" s="7">
        <v>1000.0</v>
      </c>
      <c r="G36" s="7">
        <v>1200.0</v>
      </c>
      <c r="I36" s="7">
        <v>2200.0</v>
      </c>
    </row>
    <row r="37" ht="15.75" customHeight="1">
      <c r="B37" s="7" t="s">
        <v>68</v>
      </c>
      <c r="C37" s="7" t="s">
        <v>69</v>
      </c>
      <c r="D37" s="7">
        <v>500.0</v>
      </c>
      <c r="E37" s="7">
        <v>300.0</v>
      </c>
      <c r="F37" s="7">
        <v>200.0</v>
      </c>
      <c r="I37" s="7">
        <v>500.0</v>
      </c>
    </row>
    <row r="38" ht="15.75" customHeight="1">
      <c r="B38" s="7" t="s">
        <v>70</v>
      </c>
      <c r="C38" s="7" t="s">
        <v>71</v>
      </c>
      <c r="D38" s="7">
        <v>600.0</v>
      </c>
      <c r="E38" s="7"/>
      <c r="F38" s="7"/>
      <c r="G38" s="7">
        <v>600.0</v>
      </c>
      <c r="I38" s="7">
        <v>600.0</v>
      </c>
    </row>
    <row r="39" ht="15.75" customHeight="1">
      <c r="A39" s="15" t="s">
        <v>65</v>
      </c>
      <c r="B39" s="15"/>
      <c r="C39" s="15"/>
      <c r="D39" s="15">
        <f t="shared" ref="D39:G39" si="6">SUM(D36:D38)</f>
        <v>3300</v>
      </c>
      <c r="E39" s="15">
        <f t="shared" si="6"/>
        <v>300</v>
      </c>
      <c r="F39" s="15">
        <f t="shared" si="6"/>
        <v>1200</v>
      </c>
      <c r="G39" s="15">
        <f t="shared" si="6"/>
        <v>1800</v>
      </c>
      <c r="H39" s="15"/>
      <c r="I39" s="15">
        <f>SUM(I36:I37)</f>
        <v>2700</v>
      </c>
    </row>
    <row r="40" ht="15.75" customHeight="1"/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</row>
    <row r="42" ht="15.75" customHeight="1">
      <c r="A42" s="8">
        <v>45342.0</v>
      </c>
      <c r="B42" s="7" t="s">
        <v>72</v>
      </c>
      <c r="C42" s="7" t="s">
        <v>73</v>
      </c>
      <c r="D42" s="7">
        <v>350.0</v>
      </c>
      <c r="F42" s="7">
        <v>350.0</v>
      </c>
      <c r="G42" s="7"/>
      <c r="I42" s="7">
        <v>350.0</v>
      </c>
    </row>
    <row r="43" ht="15.75" customHeight="1">
      <c r="B43" s="7" t="s">
        <v>74</v>
      </c>
      <c r="C43" s="7" t="s">
        <v>75</v>
      </c>
      <c r="D43" s="7">
        <v>1030.0</v>
      </c>
      <c r="E43" s="7">
        <v>1030.0</v>
      </c>
      <c r="I43" s="7">
        <v>350.0</v>
      </c>
    </row>
    <row r="44" ht="15.75" customHeight="1">
      <c r="B44" s="7" t="s">
        <v>76</v>
      </c>
      <c r="C44" s="7" t="s">
        <v>77</v>
      </c>
      <c r="D44" s="7">
        <v>250.0</v>
      </c>
      <c r="E44" s="7">
        <v>250.0</v>
      </c>
      <c r="I44" s="7">
        <v>250.0</v>
      </c>
    </row>
    <row r="45" ht="15.75" customHeight="1">
      <c r="D45" s="7">
        <f>SUM(D42:D44)</f>
        <v>1630</v>
      </c>
      <c r="E45" s="7">
        <f>SUM(E43:E44)</f>
        <v>1280</v>
      </c>
      <c r="F45" s="7">
        <v>350.0</v>
      </c>
      <c r="G45" s="7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</row>
    <row r="47" ht="19.5" customHeight="1">
      <c r="A47" s="8">
        <v>45343.0</v>
      </c>
      <c r="B47" s="7" t="s">
        <v>78</v>
      </c>
      <c r="C47" s="21" t="s">
        <v>79</v>
      </c>
      <c r="D47" s="7">
        <v>600.0</v>
      </c>
      <c r="E47" s="7">
        <v>600.0</v>
      </c>
      <c r="I47" s="7">
        <v>600.0</v>
      </c>
    </row>
    <row r="48" ht="15.75" customHeight="1">
      <c r="B48" s="22" t="s">
        <v>80</v>
      </c>
      <c r="C48" s="7" t="s">
        <v>81</v>
      </c>
      <c r="D48" s="7">
        <v>600.0</v>
      </c>
      <c r="E48" s="7">
        <v>400.0</v>
      </c>
      <c r="F48" s="7">
        <v>200.0</v>
      </c>
      <c r="G48" s="7"/>
      <c r="I48" s="7">
        <v>600.0</v>
      </c>
    </row>
    <row r="49" ht="15.75" customHeight="1">
      <c r="B49" s="23" t="s">
        <v>30</v>
      </c>
      <c r="C49" s="7" t="s">
        <v>82</v>
      </c>
      <c r="D49" s="7">
        <v>1500.0</v>
      </c>
      <c r="F49" s="7">
        <v>1500.0</v>
      </c>
      <c r="G49" s="7"/>
      <c r="I49" s="7">
        <v>1500.0</v>
      </c>
    </row>
    <row r="50" ht="15.75" customHeight="1">
      <c r="B50" s="19" t="s">
        <v>83</v>
      </c>
      <c r="C50" s="19"/>
      <c r="D50" s="19">
        <f>SUM(D47:D49)</f>
        <v>2700</v>
      </c>
      <c r="K50" s="7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</row>
    <row r="52" ht="15.75" customHeight="1">
      <c r="A52" s="8">
        <v>45344.0</v>
      </c>
      <c r="B52" s="7" t="s">
        <v>84</v>
      </c>
      <c r="C52" s="7" t="s">
        <v>85</v>
      </c>
      <c r="D52" s="7">
        <v>160.0</v>
      </c>
      <c r="E52" s="7">
        <v>160.0</v>
      </c>
    </row>
    <row r="53" ht="15.75" customHeight="1">
      <c r="B53" s="7" t="s">
        <v>16</v>
      </c>
      <c r="C53" s="7" t="s">
        <v>86</v>
      </c>
      <c r="D53" s="7">
        <v>1600.0</v>
      </c>
      <c r="F53" s="7">
        <v>1600.0</v>
      </c>
      <c r="G53" s="7"/>
    </row>
    <row r="54" ht="15.75" customHeight="1">
      <c r="B54" s="24" t="s">
        <v>87</v>
      </c>
      <c r="C54" s="7" t="s">
        <v>88</v>
      </c>
      <c r="D54" s="7">
        <v>150.0</v>
      </c>
      <c r="E54" s="7">
        <v>150.0</v>
      </c>
      <c r="H54" s="7">
        <v>150.0</v>
      </c>
    </row>
    <row r="55" ht="15.75" customHeight="1">
      <c r="B55" s="7" t="s">
        <v>89</v>
      </c>
      <c r="C55" s="7" t="s">
        <v>90</v>
      </c>
      <c r="D55" s="7">
        <v>150.0</v>
      </c>
      <c r="E55" s="7">
        <v>150.0</v>
      </c>
      <c r="H55" s="7">
        <v>150.0</v>
      </c>
    </row>
    <row r="56" ht="15.75" customHeight="1">
      <c r="A56" s="19" t="s">
        <v>65</v>
      </c>
      <c r="B56" s="19"/>
      <c r="C56" s="19"/>
      <c r="D56" s="19">
        <f t="shared" ref="D56:F56" si="7">SUM(D52:D55)</f>
        <v>2060</v>
      </c>
      <c r="E56" s="19">
        <f t="shared" si="7"/>
        <v>460</v>
      </c>
      <c r="F56" s="19">
        <f t="shared" si="7"/>
        <v>1600</v>
      </c>
      <c r="G56" s="19"/>
      <c r="H56" s="19"/>
      <c r="K56" s="7"/>
    </row>
    <row r="57" ht="15.75" customHeight="1">
      <c r="A57" s="8">
        <v>45345.0</v>
      </c>
      <c r="B57" s="7" t="s">
        <v>91</v>
      </c>
      <c r="C57" s="7" t="s">
        <v>92</v>
      </c>
      <c r="D57" s="7">
        <v>60.0</v>
      </c>
      <c r="E57" s="7">
        <v>60.0</v>
      </c>
      <c r="H57" s="7">
        <v>60.0</v>
      </c>
      <c r="K57" s="7"/>
    </row>
    <row r="58" ht="15.75" customHeight="1">
      <c r="A58" s="13"/>
      <c r="B58" s="13"/>
      <c r="C58" s="13" t="s">
        <v>93</v>
      </c>
      <c r="D58" s="13"/>
      <c r="E58" s="13"/>
      <c r="F58" s="13"/>
      <c r="G58" s="13"/>
      <c r="H58" s="13"/>
      <c r="I58" s="13"/>
    </row>
    <row r="59" ht="15.75" customHeight="1">
      <c r="A59" s="25">
        <v>45348.0</v>
      </c>
      <c r="B59" s="7" t="s">
        <v>94</v>
      </c>
      <c r="C59" s="7" t="s">
        <v>95</v>
      </c>
      <c r="D59" s="7">
        <v>250.0</v>
      </c>
      <c r="E59" s="7">
        <v>250.0</v>
      </c>
      <c r="I59" s="7">
        <v>250.0</v>
      </c>
    </row>
    <row r="60" ht="15.75" customHeight="1">
      <c r="B60" s="7" t="s">
        <v>96</v>
      </c>
      <c r="C60" s="7" t="s">
        <v>97</v>
      </c>
      <c r="D60" s="7">
        <v>500.0</v>
      </c>
      <c r="E60" s="7">
        <v>500.0</v>
      </c>
      <c r="I60" s="7">
        <v>500.0</v>
      </c>
    </row>
    <row r="61" ht="15.75" customHeight="1">
      <c r="B61" s="7" t="s">
        <v>98</v>
      </c>
      <c r="C61" s="7" t="s">
        <v>99</v>
      </c>
      <c r="D61" s="7">
        <v>500.0</v>
      </c>
      <c r="E61" s="7">
        <v>500.0</v>
      </c>
      <c r="I61" s="7">
        <v>500.0</v>
      </c>
    </row>
    <row r="62" ht="15.75" customHeight="1">
      <c r="B62" s="7" t="s">
        <v>100</v>
      </c>
      <c r="C62" s="7" t="s">
        <v>101</v>
      </c>
      <c r="D62" s="7">
        <v>500.0</v>
      </c>
      <c r="E62" s="7">
        <v>500.0</v>
      </c>
      <c r="I62" s="7">
        <v>500.0</v>
      </c>
    </row>
    <row r="63" ht="15.75" customHeight="1">
      <c r="B63" s="7" t="s">
        <v>34</v>
      </c>
      <c r="C63" s="7" t="s">
        <v>102</v>
      </c>
      <c r="D63" s="7">
        <v>600.0</v>
      </c>
      <c r="F63" s="7">
        <v>600.0</v>
      </c>
      <c r="I63" s="7">
        <v>600.0</v>
      </c>
    </row>
    <row r="64" ht="15.75" customHeight="1">
      <c r="A64" s="13" t="s">
        <v>65</v>
      </c>
      <c r="B64" s="13"/>
      <c r="C64" s="13"/>
      <c r="D64" s="13">
        <f t="shared" ref="D64:F64" si="8">SUM(D59:D63)</f>
        <v>2350</v>
      </c>
      <c r="E64" s="13">
        <f t="shared" si="8"/>
        <v>1750</v>
      </c>
      <c r="F64" s="13">
        <f t="shared" si="8"/>
        <v>600</v>
      </c>
      <c r="G64" s="13"/>
      <c r="H64" s="13"/>
      <c r="I64" s="13">
        <f>SUM(I59:I63)</f>
        <v>2350</v>
      </c>
      <c r="K64" s="7"/>
    </row>
    <row r="65" ht="15.75" customHeight="1">
      <c r="A65" s="25">
        <v>45349.0</v>
      </c>
      <c r="B65" s="7" t="s">
        <v>103</v>
      </c>
      <c r="C65" s="7" t="s">
        <v>104</v>
      </c>
      <c r="D65" s="7">
        <v>60.0</v>
      </c>
      <c r="F65" s="7">
        <v>60.0</v>
      </c>
      <c r="I65" s="7">
        <v>60.0</v>
      </c>
    </row>
    <row r="66" ht="15.75" customHeight="1">
      <c r="B66" s="7" t="s">
        <v>105</v>
      </c>
      <c r="C66" s="7" t="s">
        <v>106</v>
      </c>
      <c r="D66" s="7">
        <v>300.0</v>
      </c>
      <c r="E66" s="7">
        <v>300.0</v>
      </c>
      <c r="I66" s="7">
        <v>300.0</v>
      </c>
    </row>
    <row r="67" ht="15.75" customHeight="1">
      <c r="B67" s="7" t="s">
        <v>107</v>
      </c>
      <c r="C67" s="7" t="s">
        <v>108</v>
      </c>
      <c r="D67" s="7">
        <v>50.0</v>
      </c>
      <c r="E67" s="7">
        <v>50.0</v>
      </c>
      <c r="H67" s="7">
        <v>50.0</v>
      </c>
    </row>
    <row r="68" ht="15.75" customHeight="1">
      <c r="B68" s="7" t="s">
        <v>109</v>
      </c>
      <c r="C68" s="7" t="s">
        <v>110</v>
      </c>
      <c r="D68" s="7">
        <v>1800.0</v>
      </c>
      <c r="F68" s="7">
        <v>1800.0</v>
      </c>
      <c r="I68" s="7">
        <v>1800.0</v>
      </c>
    </row>
    <row r="69" ht="15.75" customHeight="1">
      <c r="A69" s="19" t="s">
        <v>25</v>
      </c>
      <c r="B69" s="19"/>
      <c r="C69" s="19"/>
      <c r="D69" s="19">
        <f t="shared" ref="D69:F69" si="9">SUM(D65:D68)</f>
        <v>2210</v>
      </c>
      <c r="E69" s="19">
        <f t="shared" si="9"/>
        <v>350</v>
      </c>
      <c r="F69" s="19">
        <f t="shared" si="9"/>
        <v>1860</v>
      </c>
      <c r="G69" s="19"/>
      <c r="H69" s="19">
        <f t="shared" ref="H69:I69" si="10">SUM(H65:H68)</f>
        <v>50</v>
      </c>
      <c r="I69" s="19">
        <f t="shared" si="10"/>
        <v>2160</v>
      </c>
      <c r="K69" s="7"/>
    </row>
    <row r="70" ht="15.75" customHeight="1"/>
    <row r="71" ht="15.75" customHeight="1">
      <c r="A71" s="26">
        <v>45355.0</v>
      </c>
      <c r="J71" s="27"/>
      <c r="K71" s="28" t="s">
        <v>111</v>
      </c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7" t="s">
        <v>13</v>
      </c>
      <c r="L72" s="7" t="s">
        <v>10</v>
      </c>
      <c r="M72" s="7" t="s">
        <v>11</v>
      </c>
      <c r="N72" s="7" t="s">
        <v>14</v>
      </c>
    </row>
    <row r="73" ht="15.75" customHeight="1">
      <c r="A73" s="20"/>
      <c r="B73" s="5" t="s">
        <v>0</v>
      </c>
      <c r="C73" s="5" t="s">
        <v>1</v>
      </c>
      <c r="D73" s="6" t="s">
        <v>2</v>
      </c>
      <c r="E73" s="6" t="s">
        <v>3</v>
      </c>
      <c r="F73" s="6" t="s">
        <v>4</v>
      </c>
      <c r="G73" s="6" t="s">
        <v>5</v>
      </c>
      <c r="H73" s="6" t="s">
        <v>6</v>
      </c>
      <c r="I73" s="6" t="s">
        <v>7</v>
      </c>
      <c r="J73" s="6" t="s">
        <v>8</v>
      </c>
    </row>
    <row r="74" ht="15.75" customHeight="1">
      <c r="A74" s="8">
        <v>45355.0</v>
      </c>
      <c r="B74" s="7" t="s">
        <v>112</v>
      </c>
      <c r="C74" s="7" t="s">
        <v>113</v>
      </c>
      <c r="D74" s="7">
        <v>300.0</v>
      </c>
      <c r="E74" s="7">
        <v>0.0</v>
      </c>
      <c r="F74" s="7">
        <v>300.0</v>
      </c>
      <c r="G74" s="7">
        <v>0.0</v>
      </c>
      <c r="H74" s="7">
        <v>0.0</v>
      </c>
      <c r="I74" s="7">
        <v>300.0</v>
      </c>
      <c r="K74" s="7">
        <v>2500.0</v>
      </c>
      <c r="L74" s="7">
        <v>700.0</v>
      </c>
      <c r="M74" s="7">
        <v>1800.0</v>
      </c>
    </row>
    <row r="75" ht="15.75" customHeight="1">
      <c r="B75" s="7" t="s">
        <v>16</v>
      </c>
      <c r="C75" s="7" t="s">
        <v>114</v>
      </c>
      <c r="D75" s="7">
        <v>1500.0</v>
      </c>
      <c r="E75" s="7">
        <v>0.0</v>
      </c>
      <c r="F75" s="7">
        <v>1500.0</v>
      </c>
      <c r="G75" s="7">
        <v>0.0</v>
      </c>
      <c r="H75" s="7">
        <v>0.0</v>
      </c>
      <c r="I75" s="7">
        <v>1500.0</v>
      </c>
      <c r="K75" s="7">
        <v>2780.0</v>
      </c>
      <c r="L75" s="7">
        <v>1150.0</v>
      </c>
      <c r="M75" s="7">
        <v>930.0</v>
      </c>
    </row>
    <row r="76" ht="15.75" customHeight="1">
      <c r="B76" s="7" t="s">
        <v>115</v>
      </c>
      <c r="C76" s="7" t="s">
        <v>116</v>
      </c>
      <c r="D76" s="7">
        <v>200.0</v>
      </c>
      <c r="E76" s="7">
        <v>200.0</v>
      </c>
      <c r="F76" s="7">
        <v>0.0</v>
      </c>
      <c r="G76" s="7">
        <v>0.0</v>
      </c>
      <c r="H76" s="7">
        <v>200.0</v>
      </c>
      <c r="I76" s="7">
        <v>0.0</v>
      </c>
      <c r="K76" s="7">
        <v>1250.0</v>
      </c>
      <c r="L76" s="7">
        <v>550.0</v>
      </c>
      <c r="M76" s="7">
        <v>700.0</v>
      </c>
    </row>
    <row r="77" ht="15.75" customHeight="1">
      <c r="B77" s="7" t="s">
        <v>117</v>
      </c>
      <c r="C77" s="7" t="s">
        <v>118</v>
      </c>
      <c r="D77" s="7">
        <v>500.0</v>
      </c>
      <c r="E77" s="7">
        <v>500.0</v>
      </c>
      <c r="F77" s="7">
        <v>0.0</v>
      </c>
      <c r="G77" s="7">
        <v>0.0</v>
      </c>
      <c r="H77" s="7">
        <v>0.0</v>
      </c>
      <c r="I77" s="7">
        <v>500.0</v>
      </c>
      <c r="K77" s="7">
        <v>2100.0</v>
      </c>
      <c r="L77" s="7">
        <v>1050.0</v>
      </c>
      <c r="M77" s="7">
        <v>1050.0</v>
      </c>
    </row>
    <row r="78" ht="15.75" customHeight="1">
      <c r="A78" s="12" t="s">
        <v>119</v>
      </c>
      <c r="B78" s="13"/>
      <c r="C78" s="13"/>
      <c r="D78" s="13">
        <f t="shared" ref="D78:F78" si="11">SUM(D74:D77)</f>
        <v>2500</v>
      </c>
      <c r="E78" s="13">
        <f t="shared" si="11"/>
        <v>700</v>
      </c>
      <c r="F78" s="13">
        <f t="shared" si="11"/>
        <v>1800</v>
      </c>
      <c r="G78" s="13"/>
      <c r="H78" s="13"/>
      <c r="I78" s="13"/>
      <c r="J78" s="13"/>
      <c r="K78" s="7">
        <v>100.0</v>
      </c>
      <c r="L78" s="7">
        <v>100.0</v>
      </c>
    </row>
    <row r="79" ht="15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7">
        <v>2450.0</v>
      </c>
      <c r="L79" s="7">
        <v>700.0</v>
      </c>
      <c r="M79" s="7">
        <v>1750.0</v>
      </c>
    </row>
    <row r="80" ht="15.75" customHeight="1">
      <c r="A80" s="8">
        <v>45356.0</v>
      </c>
      <c r="B80" s="7" t="s">
        <v>120</v>
      </c>
      <c r="C80" s="7" t="s">
        <v>121</v>
      </c>
      <c r="D80" s="7">
        <v>350.0</v>
      </c>
      <c r="E80" s="7">
        <v>350.0</v>
      </c>
      <c r="F80" s="7">
        <v>0.0</v>
      </c>
      <c r="G80" s="7">
        <v>0.0</v>
      </c>
      <c r="H80" s="7">
        <v>0.0</v>
      </c>
      <c r="I80" s="7">
        <v>350.0</v>
      </c>
      <c r="K80" s="7">
        <v>1650.0</v>
      </c>
      <c r="L80" s="7">
        <v>100.0</v>
      </c>
      <c r="M80" s="7">
        <v>1550.0</v>
      </c>
    </row>
    <row r="81" ht="15.75" customHeight="1">
      <c r="B81" s="7" t="s">
        <v>122</v>
      </c>
      <c r="C81" s="7" t="s">
        <v>123</v>
      </c>
      <c r="D81" s="7">
        <v>300.0</v>
      </c>
      <c r="E81" s="7">
        <v>0.0</v>
      </c>
      <c r="F81" s="7">
        <v>300.0</v>
      </c>
      <c r="G81" s="7">
        <v>0.0</v>
      </c>
      <c r="H81" s="7">
        <v>0.0</v>
      </c>
      <c r="I81" s="7">
        <v>300.0</v>
      </c>
      <c r="K81" s="7">
        <v>1750.0</v>
      </c>
      <c r="L81" s="7">
        <v>650.0</v>
      </c>
      <c r="M81" s="7">
        <v>1100.0</v>
      </c>
    </row>
    <row r="82" ht="15.75" customHeight="1">
      <c r="B82" s="7" t="s">
        <v>124</v>
      </c>
      <c r="C82" s="7" t="s">
        <v>121</v>
      </c>
      <c r="D82" s="7">
        <v>350.0</v>
      </c>
      <c r="E82" s="7">
        <v>0.0</v>
      </c>
      <c r="F82" s="7">
        <v>350.0</v>
      </c>
      <c r="G82" s="7">
        <v>0.0</v>
      </c>
      <c r="H82" s="7">
        <v>0.0</v>
      </c>
      <c r="I82" s="7">
        <v>350.0</v>
      </c>
      <c r="K82" s="7">
        <v>2000.0</v>
      </c>
      <c r="L82" s="7">
        <v>800.0</v>
      </c>
      <c r="M82" s="7">
        <v>1200.0</v>
      </c>
    </row>
    <row r="83" ht="15.75" customHeight="1">
      <c r="B83" s="7" t="s">
        <v>125</v>
      </c>
      <c r="C83" s="7" t="s">
        <v>126</v>
      </c>
      <c r="D83" s="7">
        <v>280.0</v>
      </c>
      <c r="E83" s="7">
        <v>0.0</v>
      </c>
      <c r="F83" s="7">
        <v>280.0</v>
      </c>
      <c r="G83" s="7">
        <v>0.0</v>
      </c>
      <c r="H83" s="7">
        <v>0.0</v>
      </c>
      <c r="I83" s="7">
        <v>280.0</v>
      </c>
      <c r="K83" s="7">
        <v>1000.0</v>
      </c>
      <c r="L83" s="7">
        <v>1000.0</v>
      </c>
      <c r="M83" s="7">
        <v>0.0</v>
      </c>
    </row>
    <row r="84" ht="15.75" customHeight="1">
      <c r="B84" s="7" t="s">
        <v>127</v>
      </c>
      <c r="C84" s="7" t="s">
        <v>128</v>
      </c>
      <c r="D84" s="7">
        <v>600.0</v>
      </c>
      <c r="E84" s="7">
        <v>600.0</v>
      </c>
      <c r="F84" s="7">
        <v>0.0</v>
      </c>
      <c r="G84" s="7">
        <v>0.0</v>
      </c>
      <c r="H84" s="7">
        <v>0.0</v>
      </c>
      <c r="I84" s="7">
        <v>600.0</v>
      </c>
      <c r="K84" s="7">
        <v>1600.0</v>
      </c>
      <c r="L84" s="7">
        <v>1400.0</v>
      </c>
      <c r="M84" s="7">
        <v>200.0</v>
      </c>
    </row>
    <row r="85" ht="15.75" customHeight="1">
      <c r="B85" s="7" t="s">
        <v>129</v>
      </c>
      <c r="C85" s="7" t="s">
        <v>130</v>
      </c>
      <c r="D85" s="7">
        <v>200.0</v>
      </c>
      <c r="E85" s="7">
        <v>200.0</v>
      </c>
      <c r="F85" s="7">
        <v>0.0</v>
      </c>
      <c r="G85" s="7">
        <v>0.0</v>
      </c>
      <c r="H85" s="7">
        <v>0.0</v>
      </c>
      <c r="I85" s="7">
        <v>200.0</v>
      </c>
      <c r="K85" s="7">
        <v>500.0</v>
      </c>
      <c r="L85" s="7">
        <v>350.0</v>
      </c>
      <c r="M85" s="7">
        <v>150.0</v>
      </c>
    </row>
    <row r="86" ht="15.75" customHeight="1">
      <c r="B86" s="7" t="s">
        <v>131</v>
      </c>
      <c r="C86" s="7" t="s">
        <v>132</v>
      </c>
      <c r="D86" s="7">
        <v>350.0</v>
      </c>
      <c r="K86" s="7">
        <v>1100.0</v>
      </c>
      <c r="L86" s="7">
        <v>300.0</v>
      </c>
      <c r="M86" s="7">
        <v>800.0</v>
      </c>
    </row>
    <row r="87" ht="15.75" customHeight="1">
      <c r="B87" s="7" t="s">
        <v>133</v>
      </c>
      <c r="C87" s="7" t="s">
        <v>134</v>
      </c>
      <c r="D87" s="7">
        <v>350.0</v>
      </c>
      <c r="K87" s="7">
        <v>2400.0</v>
      </c>
      <c r="L87" s="7">
        <v>800.0</v>
      </c>
      <c r="M87" s="7">
        <v>0.0</v>
      </c>
      <c r="N87" s="7">
        <v>1600.0</v>
      </c>
    </row>
    <row r="88" ht="15.75" customHeight="1">
      <c r="A88" s="13"/>
      <c r="B88" s="13"/>
      <c r="C88" s="13"/>
      <c r="D88" s="13">
        <f t="shared" ref="D88:F88" si="12">SUM(D80:D87)</f>
        <v>2780</v>
      </c>
      <c r="E88" s="13">
        <f t="shared" si="12"/>
        <v>1150</v>
      </c>
      <c r="F88" s="13">
        <f t="shared" si="12"/>
        <v>930</v>
      </c>
      <c r="G88" s="13"/>
      <c r="H88" s="13"/>
      <c r="I88" s="13">
        <f>SUM(I80:I87)</f>
        <v>2080</v>
      </c>
      <c r="J88" s="13"/>
      <c r="K88" s="7">
        <v>200.0</v>
      </c>
      <c r="L88" s="7">
        <v>200.0</v>
      </c>
      <c r="M88" s="7">
        <v>0.0</v>
      </c>
    </row>
    <row r="89" ht="15.75" customHeight="1">
      <c r="A89" s="8">
        <v>45357.0</v>
      </c>
      <c r="B89" s="7" t="s">
        <v>135</v>
      </c>
      <c r="C89" s="7" t="s">
        <v>136</v>
      </c>
      <c r="D89" s="7">
        <v>50.0</v>
      </c>
      <c r="E89" s="7">
        <v>50.0</v>
      </c>
      <c r="F89" s="7">
        <v>0.0</v>
      </c>
      <c r="G89" s="7">
        <v>0.0</v>
      </c>
      <c r="H89" s="7">
        <v>50.0</v>
      </c>
      <c r="I89" s="7">
        <v>0.0</v>
      </c>
      <c r="K89" s="7">
        <v>1750.0</v>
      </c>
      <c r="L89" s="7">
        <v>850.0</v>
      </c>
      <c r="M89" s="7">
        <v>880.0</v>
      </c>
    </row>
    <row r="90" ht="15.75" customHeight="1">
      <c r="B90" s="7" t="s">
        <v>137</v>
      </c>
      <c r="D90" s="7">
        <v>500.0</v>
      </c>
      <c r="E90" s="7">
        <v>0.0</v>
      </c>
      <c r="F90" s="7">
        <v>500.0</v>
      </c>
      <c r="G90" s="7">
        <v>0.0</v>
      </c>
      <c r="H90" s="7">
        <v>0.0</v>
      </c>
      <c r="I90" s="7">
        <v>500.0</v>
      </c>
      <c r="K90" s="7">
        <f t="shared" ref="K90:M90" si="13">SUM(K74:K89)</f>
        <v>25130</v>
      </c>
      <c r="L90" s="7">
        <f t="shared" si="13"/>
        <v>10700</v>
      </c>
      <c r="M90" s="7">
        <f t="shared" si="13"/>
        <v>12110</v>
      </c>
      <c r="N90" s="7">
        <v>1600.0</v>
      </c>
      <c r="O90" s="7">
        <f>SUM(L90:N90)</f>
        <v>24410</v>
      </c>
    </row>
    <row r="91" ht="15.75" customHeight="1">
      <c r="B91" s="7" t="s">
        <v>138</v>
      </c>
      <c r="C91" s="7" t="s">
        <v>139</v>
      </c>
      <c r="D91" s="7">
        <v>200.0</v>
      </c>
      <c r="E91" s="7">
        <v>0.0</v>
      </c>
      <c r="F91" s="7">
        <v>200.0</v>
      </c>
      <c r="G91" s="7">
        <v>0.0</v>
      </c>
      <c r="H91" s="7">
        <v>0.0</v>
      </c>
      <c r="I91" s="7">
        <v>200.0</v>
      </c>
    </row>
    <row r="92" ht="15.75" customHeight="1">
      <c r="B92" s="7" t="s">
        <v>140</v>
      </c>
      <c r="C92" s="7" t="s">
        <v>141</v>
      </c>
      <c r="D92" s="7">
        <v>500.0</v>
      </c>
      <c r="E92" s="7">
        <v>500.0</v>
      </c>
      <c r="F92" s="7">
        <v>0.0</v>
      </c>
      <c r="G92" s="7">
        <v>0.0</v>
      </c>
      <c r="H92" s="7">
        <v>0.0</v>
      </c>
      <c r="I92" s="7">
        <v>500.0</v>
      </c>
    </row>
    <row r="93" ht="15.75" customHeight="1">
      <c r="A93" s="13" t="s">
        <v>65</v>
      </c>
      <c r="B93" s="13"/>
      <c r="C93" s="13"/>
      <c r="D93" s="13">
        <f t="shared" ref="D93:I93" si="14">SUM(D89:D92)</f>
        <v>1250</v>
      </c>
      <c r="E93" s="13">
        <f t="shared" si="14"/>
        <v>550</v>
      </c>
      <c r="F93" s="13">
        <f t="shared" si="14"/>
        <v>700</v>
      </c>
      <c r="G93" s="13">
        <f t="shared" si="14"/>
        <v>0</v>
      </c>
      <c r="H93" s="13">
        <f t="shared" si="14"/>
        <v>50</v>
      </c>
      <c r="I93" s="13">
        <f t="shared" si="14"/>
        <v>1200</v>
      </c>
      <c r="J93" s="13"/>
      <c r="K93" s="7"/>
    </row>
    <row r="94" ht="15.75" customHeight="1">
      <c r="A94" s="8">
        <v>45358.0</v>
      </c>
      <c r="B94" s="7" t="s">
        <v>72</v>
      </c>
      <c r="C94" s="7" t="s">
        <v>142</v>
      </c>
      <c r="D94" s="7">
        <v>500.0</v>
      </c>
      <c r="E94" s="7">
        <v>0.0</v>
      </c>
      <c r="F94" s="7">
        <v>500.0</v>
      </c>
      <c r="G94" s="7">
        <v>0.0</v>
      </c>
      <c r="H94" s="7">
        <v>0.0</v>
      </c>
      <c r="I94" s="7">
        <v>500.0</v>
      </c>
    </row>
    <row r="95" ht="15.75" customHeight="1">
      <c r="B95" s="7" t="s">
        <v>143</v>
      </c>
      <c r="C95" s="7" t="s">
        <v>144</v>
      </c>
      <c r="D95" s="7">
        <v>250.0</v>
      </c>
      <c r="E95" s="7">
        <v>0.0</v>
      </c>
      <c r="F95" s="7">
        <v>250.0</v>
      </c>
      <c r="G95" s="7">
        <v>0.0</v>
      </c>
      <c r="H95" s="7">
        <v>0.0</v>
      </c>
      <c r="I95" s="7">
        <v>250.0</v>
      </c>
    </row>
    <row r="96" ht="15.75" customHeight="1">
      <c r="B96" s="7" t="s">
        <v>145</v>
      </c>
      <c r="C96" s="7" t="s">
        <v>146</v>
      </c>
      <c r="D96" s="7">
        <v>350.0</v>
      </c>
      <c r="E96" s="7">
        <v>350.0</v>
      </c>
      <c r="F96" s="7">
        <v>0.0</v>
      </c>
      <c r="G96" s="7">
        <v>0.0</v>
      </c>
      <c r="H96" s="7">
        <v>0.0</v>
      </c>
      <c r="I96" s="7">
        <v>350.0</v>
      </c>
    </row>
    <row r="97" ht="15.75" customHeight="1">
      <c r="B97" s="7" t="s">
        <v>147</v>
      </c>
      <c r="C97" s="7" t="s">
        <v>148</v>
      </c>
      <c r="D97" s="7">
        <v>500.0</v>
      </c>
      <c r="E97" s="7">
        <v>500.0</v>
      </c>
      <c r="F97" s="7">
        <v>0.0</v>
      </c>
      <c r="G97" s="7">
        <v>0.0</v>
      </c>
      <c r="H97" s="7">
        <v>0.0</v>
      </c>
      <c r="I97" s="7">
        <v>0.0</v>
      </c>
    </row>
    <row r="98" ht="15.75" customHeight="1">
      <c r="B98" s="7" t="s">
        <v>149</v>
      </c>
      <c r="C98" s="7" t="s">
        <v>150</v>
      </c>
      <c r="D98" s="7">
        <v>300.0</v>
      </c>
      <c r="E98" s="7">
        <v>0.0</v>
      </c>
      <c r="F98" s="7">
        <v>300.0</v>
      </c>
      <c r="G98" s="7">
        <v>0.0</v>
      </c>
      <c r="H98" s="7">
        <v>0.0</v>
      </c>
      <c r="I98" s="7">
        <v>300.0</v>
      </c>
    </row>
    <row r="99" ht="15.75" customHeight="1">
      <c r="B99" s="7" t="s">
        <v>56</v>
      </c>
      <c r="C99" s="7" t="s">
        <v>151</v>
      </c>
      <c r="D99" s="7">
        <v>200.0</v>
      </c>
      <c r="E99" s="7">
        <v>200.0</v>
      </c>
      <c r="F99" s="7">
        <v>0.0</v>
      </c>
      <c r="G99" s="7">
        <v>0.0</v>
      </c>
      <c r="H99" s="7">
        <v>200.0</v>
      </c>
      <c r="I99" s="7">
        <v>0.0</v>
      </c>
    </row>
    <row r="100" ht="15.75" customHeight="1">
      <c r="B100" s="7"/>
      <c r="C100" s="7" t="s">
        <v>152</v>
      </c>
      <c r="D100" s="7" t="s">
        <v>119</v>
      </c>
      <c r="E100" s="7" t="s">
        <v>153</v>
      </c>
      <c r="F100" s="7" t="s">
        <v>154</v>
      </c>
      <c r="G100" s="7"/>
      <c r="H100" s="7"/>
      <c r="I100" s="7"/>
    </row>
    <row r="101" ht="15.75" customHeight="1">
      <c r="A101" s="13" t="s">
        <v>65</v>
      </c>
      <c r="B101" s="13"/>
      <c r="C101" s="13"/>
      <c r="D101" s="13">
        <f t="shared" ref="D101:F101" si="15">SUM(D94:D100)</f>
        <v>2100</v>
      </c>
      <c r="E101" s="13">
        <f t="shared" si="15"/>
        <v>1050</v>
      </c>
      <c r="F101" s="13">
        <f t="shared" si="15"/>
        <v>1050</v>
      </c>
      <c r="G101" s="13"/>
      <c r="H101" s="13">
        <f t="shared" ref="H101:I101" si="16">SUM(H94:H99)</f>
        <v>200</v>
      </c>
      <c r="I101" s="13">
        <f t="shared" si="16"/>
        <v>1400</v>
      </c>
      <c r="J101" s="13"/>
      <c r="K101" s="7"/>
    </row>
    <row r="102" ht="15.75" customHeight="1">
      <c r="A102" s="8">
        <v>45359.0</v>
      </c>
      <c r="B102" s="7" t="s">
        <v>155</v>
      </c>
      <c r="C102" s="7" t="s">
        <v>156</v>
      </c>
      <c r="D102" s="7">
        <v>100.0</v>
      </c>
      <c r="E102" s="7">
        <v>100.0</v>
      </c>
      <c r="F102" s="7">
        <v>0.0</v>
      </c>
      <c r="G102" s="7">
        <v>0.0</v>
      </c>
      <c r="H102" s="7">
        <v>0.0</v>
      </c>
      <c r="I102" s="7">
        <v>0.0</v>
      </c>
    </row>
    <row r="103" ht="15.75" customHeight="1">
      <c r="K103" s="7"/>
    </row>
    <row r="104" ht="15.75" customHeight="1">
      <c r="A104" s="13"/>
      <c r="B104" s="13"/>
      <c r="C104" s="13"/>
      <c r="D104" s="13">
        <v>100.0</v>
      </c>
      <c r="E104" s="13"/>
      <c r="F104" s="13"/>
      <c r="G104" s="13"/>
      <c r="H104" s="13"/>
      <c r="I104" s="13"/>
      <c r="J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ht="15.75" customHeight="1">
      <c r="A106" s="8">
        <v>45362.0</v>
      </c>
      <c r="B106" s="7" t="s">
        <v>157</v>
      </c>
      <c r="C106" s="7" t="s">
        <v>158</v>
      </c>
      <c r="D106" s="7">
        <v>350.0</v>
      </c>
      <c r="E106" s="7">
        <v>0.0</v>
      </c>
      <c r="F106" s="7">
        <v>350.0</v>
      </c>
      <c r="G106" s="7">
        <v>0.0</v>
      </c>
      <c r="H106" s="7">
        <v>0.0</v>
      </c>
      <c r="I106" s="7">
        <v>350.0</v>
      </c>
    </row>
    <row r="107" ht="15.75" customHeight="1">
      <c r="B107" s="7" t="s">
        <v>16</v>
      </c>
      <c r="C107" s="21" t="s">
        <v>159</v>
      </c>
      <c r="D107" s="7">
        <v>800.0</v>
      </c>
      <c r="E107" s="7">
        <v>0.0</v>
      </c>
      <c r="F107" s="7">
        <v>800.0</v>
      </c>
      <c r="G107" s="7"/>
      <c r="I107" s="7">
        <v>800.0</v>
      </c>
    </row>
    <row r="108" ht="15.75" customHeight="1">
      <c r="B108" s="7" t="s">
        <v>160</v>
      </c>
      <c r="C108" s="7" t="s">
        <v>161</v>
      </c>
      <c r="D108" s="7">
        <v>400.0</v>
      </c>
      <c r="E108" s="7">
        <v>400.0</v>
      </c>
      <c r="F108" s="7">
        <v>0.0</v>
      </c>
      <c r="I108" s="7">
        <v>400.0</v>
      </c>
    </row>
    <row r="109" ht="15.75" customHeight="1">
      <c r="B109" s="7" t="s">
        <v>162</v>
      </c>
      <c r="C109" s="7" t="s">
        <v>163</v>
      </c>
      <c r="D109" s="7">
        <v>300.0</v>
      </c>
      <c r="E109" s="7">
        <v>0.0</v>
      </c>
      <c r="F109" s="7">
        <v>300.0</v>
      </c>
      <c r="H109" s="7">
        <v>300.0</v>
      </c>
    </row>
    <row r="110" ht="15.75" customHeight="1">
      <c r="B110" s="7" t="s">
        <v>164</v>
      </c>
      <c r="C110" s="7" t="s">
        <v>165</v>
      </c>
      <c r="D110" s="7">
        <v>300.0</v>
      </c>
      <c r="E110" s="7">
        <v>300.0</v>
      </c>
      <c r="F110" s="7">
        <v>0.0</v>
      </c>
      <c r="I110" s="7">
        <v>300.0</v>
      </c>
    </row>
    <row r="111" ht="15.75" customHeight="1">
      <c r="B111" s="7" t="s">
        <v>61</v>
      </c>
      <c r="C111" s="7" t="s">
        <v>166</v>
      </c>
      <c r="D111" s="7">
        <v>300.0</v>
      </c>
      <c r="E111" s="7">
        <v>0.0</v>
      </c>
      <c r="F111" s="7">
        <v>300.0</v>
      </c>
      <c r="I111" s="7">
        <v>300.0</v>
      </c>
    </row>
    <row r="112" ht="15.75" customHeight="1">
      <c r="A112" s="19"/>
      <c r="B112" s="19"/>
      <c r="C112" s="19"/>
      <c r="D112" s="19">
        <f t="shared" ref="D112:F112" si="17">SUM(D106:D111)</f>
        <v>2450</v>
      </c>
      <c r="E112" s="19">
        <f t="shared" si="17"/>
        <v>700</v>
      </c>
      <c r="F112" s="19">
        <f t="shared" si="17"/>
        <v>1750</v>
      </c>
      <c r="G112" s="19"/>
      <c r="H112" s="19">
        <f t="shared" ref="H112:I112" si="18">SUM(H106:H111)</f>
        <v>300</v>
      </c>
      <c r="I112" s="19">
        <f t="shared" si="18"/>
        <v>2150</v>
      </c>
      <c r="J112" s="19"/>
      <c r="K112" s="7"/>
    </row>
    <row r="113" ht="15.75" customHeight="1">
      <c r="A113" s="8">
        <v>45363.0</v>
      </c>
      <c r="B113" s="7" t="s">
        <v>167</v>
      </c>
      <c r="C113" s="7" t="s">
        <v>168</v>
      </c>
      <c r="D113" s="7">
        <v>1100.0</v>
      </c>
      <c r="E113" s="7">
        <v>0.0</v>
      </c>
      <c r="F113" s="7">
        <v>1100.0</v>
      </c>
      <c r="G113" s="7">
        <v>0.0</v>
      </c>
      <c r="H113" s="7">
        <v>0.0</v>
      </c>
      <c r="I113" s="7">
        <v>1100.0</v>
      </c>
    </row>
    <row r="114" ht="15.75" customHeight="1">
      <c r="B114" s="16" t="s">
        <v>169</v>
      </c>
      <c r="C114" s="7" t="s">
        <v>170</v>
      </c>
      <c r="D114" s="7">
        <v>250.0</v>
      </c>
      <c r="E114" s="7">
        <v>0.0</v>
      </c>
      <c r="F114" s="7">
        <v>250.0</v>
      </c>
      <c r="G114" s="7">
        <v>0.0</v>
      </c>
      <c r="H114" s="7">
        <v>250.0</v>
      </c>
      <c r="I114" s="7">
        <v>0.0</v>
      </c>
    </row>
    <row r="115" ht="15.75" customHeight="1">
      <c r="B115" s="7" t="s">
        <v>171</v>
      </c>
      <c r="C115" s="7" t="s">
        <v>172</v>
      </c>
      <c r="D115" s="7">
        <v>200.0</v>
      </c>
      <c r="E115" s="7">
        <v>0.0</v>
      </c>
      <c r="F115" s="7">
        <v>200.0</v>
      </c>
      <c r="G115" s="7">
        <v>0.0</v>
      </c>
      <c r="H115" s="7">
        <v>0.0</v>
      </c>
      <c r="I115" s="7">
        <v>200.0</v>
      </c>
    </row>
    <row r="116" ht="15.75" customHeight="1">
      <c r="B116" s="7" t="s">
        <v>173</v>
      </c>
      <c r="C116" s="7" t="s">
        <v>174</v>
      </c>
      <c r="D116" s="7">
        <v>100.0</v>
      </c>
      <c r="E116" s="7">
        <v>100.0</v>
      </c>
      <c r="F116" s="7">
        <v>0.0</v>
      </c>
      <c r="G116" s="7">
        <v>0.0</v>
      </c>
      <c r="H116" s="7">
        <v>0.0</v>
      </c>
      <c r="I116" s="7">
        <v>100.0</v>
      </c>
    </row>
    <row r="117" ht="15.75" customHeight="1">
      <c r="A117" s="7" t="s">
        <v>25</v>
      </c>
      <c r="D117" s="7">
        <f t="shared" ref="D117:F117" si="19">SUM(D113:D116)</f>
        <v>1650</v>
      </c>
      <c r="E117" s="7">
        <f t="shared" si="19"/>
        <v>100</v>
      </c>
      <c r="F117" s="7">
        <f t="shared" si="19"/>
        <v>1550</v>
      </c>
      <c r="G117" s="7">
        <v>0.0</v>
      </c>
      <c r="H117" s="7">
        <f t="shared" ref="H117:I117" si="20">SUM(H113:H116)</f>
        <v>250</v>
      </c>
      <c r="I117" s="7">
        <f t="shared" si="20"/>
        <v>1400</v>
      </c>
      <c r="K117" s="7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</row>
    <row r="119" ht="15.75" customHeight="1">
      <c r="A119" s="8">
        <v>45364.0</v>
      </c>
      <c r="B119" s="7" t="s">
        <v>175</v>
      </c>
      <c r="C119" s="7" t="s">
        <v>176</v>
      </c>
      <c r="D119" s="7">
        <v>300.0</v>
      </c>
      <c r="E119" s="7">
        <v>300.0</v>
      </c>
      <c r="F119" s="7">
        <v>0.0</v>
      </c>
      <c r="G119" s="7">
        <v>0.0</v>
      </c>
      <c r="H119" s="7">
        <v>0.0</v>
      </c>
      <c r="I119" s="7">
        <v>300.0</v>
      </c>
    </row>
    <row r="120" ht="15.75" customHeight="1">
      <c r="B120" s="7" t="s">
        <v>16</v>
      </c>
      <c r="C120" s="7" t="s">
        <v>177</v>
      </c>
      <c r="D120" s="7">
        <v>250.0</v>
      </c>
      <c r="E120" s="7">
        <v>0.0</v>
      </c>
      <c r="F120" s="7">
        <v>250.0</v>
      </c>
      <c r="G120" s="7">
        <v>0.0</v>
      </c>
      <c r="H120" s="7">
        <v>0.0</v>
      </c>
      <c r="I120" s="7">
        <v>250.0</v>
      </c>
    </row>
    <row r="121" ht="15.75" customHeight="1">
      <c r="B121" s="7" t="s">
        <v>178</v>
      </c>
      <c r="C121" s="7" t="s">
        <v>179</v>
      </c>
      <c r="D121" s="7">
        <v>150.0</v>
      </c>
      <c r="E121" s="7">
        <v>150.0</v>
      </c>
      <c r="F121" s="7">
        <v>0.0</v>
      </c>
      <c r="G121" s="7">
        <v>0.0</v>
      </c>
      <c r="H121" s="7">
        <v>150.0</v>
      </c>
      <c r="I121" s="7">
        <v>0.0</v>
      </c>
    </row>
    <row r="122" ht="15.75" customHeight="1">
      <c r="B122" s="7" t="s">
        <v>180</v>
      </c>
      <c r="C122" s="7" t="s">
        <v>181</v>
      </c>
      <c r="D122" s="7">
        <v>250.0</v>
      </c>
      <c r="E122" s="7">
        <v>0.0</v>
      </c>
      <c r="F122" s="7">
        <v>250.0</v>
      </c>
      <c r="G122" s="7">
        <v>0.0</v>
      </c>
      <c r="H122" s="7">
        <v>0.0</v>
      </c>
      <c r="I122" s="7">
        <v>250.0</v>
      </c>
    </row>
    <row r="123" ht="15.75" customHeight="1">
      <c r="B123" s="7" t="s">
        <v>182</v>
      </c>
      <c r="C123" s="7" t="s">
        <v>183</v>
      </c>
      <c r="D123" s="7">
        <v>200.0</v>
      </c>
      <c r="E123" s="7">
        <v>0.0</v>
      </c>
      <c r="F123" s="7">
        <v>200.0</v>
      </c>
      <c r="G123" s="7">
        <v>0.0</v>
      </c>
      <c r="H123" s="7">
        <v>200.0</v>
      </c>
      <c r="I123" s="7">
        <v>0.0</v>
      </c>
    </row>
    <row r="124" ht="15.75" customHeight="1">
      <c r="B124" s="7" t="s">
        <v>184</v>
      </c>
      <c r="C124" s="7" t="s">
        <v>185</v>
      </c>
      <c r="D124" s="7">
        <v>200.0</v>
      </c>
      <c r="E124" s="7">
        <v>200.0</v>
      </c>
      <c r="F124" s="7">
        <v>0.0</v>
      </c>
      <c r="G124" s="7">
        <v>0.0</v>
      </c>
      <c r="H124" s="7">
        <v>0.0</v>
      </c>
      <c r="I124" s="7">
        <v>200.0</v>
      </c>
    </row>
    <row r="125" ht="15.75" customHeight="1">
      <c r="B125" s="7" t="s">
        <v>186</v>
      </c>
      <c r="C125" s="7" t="s">
        <v>187</v>
      </c>
      <c r="D125" s="7">
        <v>400.0</v>
      </c>
      <c r="E125" s="7">
        <v>0.0</v>
      </c>
      <c r="F125" s="7">
        <v>400.0</v>
      </c>
      <c r="G125" s="7">
        <v>0.0</v>
      </c>
      <c r="H125" s="7">
        <v>0.0</v>
      </c>
      <c r="I125" s="7">
        <v>400.0</v>
      </c>
    </row>
    <row r="126" ht="15.75" customHeight="1">
      <c r="D126" s="29">
        <f t="shared" ref="D126:F126" si="21">SUM(D119:D125)</f>
        <v>1750</v>
      </c>
      <c r="E126" s="7">
        <f t="shared" si="21"/>
        <v>650</v>
      </c>
      <c r="F126" s="7">
        <f t="shared" si="21"/>
        <v>1100</v>
      </c>
      <c r="H126" s="7">
        <f t="shared" ref="H126:I126" si="22">SUM(H119:H125)</f>
        <v>350</v>
      </c>
      <c r="I126" s="7">
        <f t="shared" si="22"/>
        <v>1400</v>
      </c>
      <c r="K126" s="7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15.75" customHeight="1">
      <c r="A129" s="8">
        <v>45365.0</v>
      </c>
      <c r="B129" s="7" t="s">
        <v>188</v>
      </c>
      <c r="C129" s="7" t="s">
        <v>189</v>
      </c>
      <c r="D129" s="7">
        <v>500.0</v>
      </c>
      <c r="E129" s="7">
        <v>500.0</v>
      </c>
      <c r="F129" s="7">
        <v>0.0</v>
      </c>
      <c r="G129" s="7">
        <v>0.0</v>
      </c>
      <c r="H129" s="7">
        <v>0.0</v>
      </c>
      <c r="I129" s="7">
        <v>500.0</v>
      </c>
    </row>
    <row r="130" ht="15.75" customHeight="1">
      <c r="B130" s="7" t="s">
        <v>190</v>
      </c>
      <c r="C130" s="7" t="s">
        <v>191</v>
      </c>
      <c r="D130" s="7">
        <v>300.0</v>
      </c>
      <c r="E130" s="7">
        <v>0.0</v>
      </c>
      <c r="F130" s="7">
        <v>300.0</v>
      </c>
      <c r="G130" s="7">
        <v>0.0</v>
      </c>
      <c r="H130" s="7">
        <v>0.0</v>
      </c>
      <c r="I130" s="7">
        <v>300.0</v>
      </c>
    </row>
    <row r="131" ht="15.75" customHeight="1">
      <c r="B131" s="7" t="s">
        <v>105</v>
      </c>
      <c r="C131" s="7" t="s">
        <v>192</v>
      </c>
      <c r="D131" s="7">
        <v>100.0</v>
      </c>
      <c r="E131" s="7">
        <v>100.0</v>
      </c>
      <c r="F131" s="7">
        <v>0.0</v>
      </c>
      <c r="G131" s="7">
        <v>0.0</v>
      </c>
      <c r="H131" s="7">
        <v>0.0</v>
      </c>
      <c r="I131" s="7">
        <v>100.0</v>
      </c>
    </row>
    <row r="132" ht="15.75" customHeight="1">
      <c r="B132" s="7" t="s">
        <v>193</v>
      </c>
      <c r="C132" s="7" t="s">
        <v>194</v>
      </c>
      <c r="D132" s="7">
        <v>150.0</v>
      </c>
      <c r="E132" s="7">
        <v>0.0</v>
      </c>
      <c r="F132" s="7">
        <v>150.0</v>
      </c>
      <c r="G132" s="7">
        <v>0.0</v>
      </c>
      <c r="H132" s="7">
        <v>0.0</v>
      </c>
      <c r="I132" s="7">
        <v>150.0</v>
      </c>
    </row>
    <row r="133" ht="15.75" customHeight="1">
      <c r="B133" s="7" t="s">
        <v>124</v>
      </c>
      <c r="C133" s="7" t="s">
        <v>195</v>
      </c>
      <c r="D133" s="7">
        <v>300.0</v>
      </c>
      <c r="E133" s="7">
        <v>0.0</v>
      </c>
      <c r="F133" s="7">
        <v>300.0</v>
      </c>
      <c r="G133" s="7">
        <v>0.0</v>
      </c>
      <c r="H133" s="7">
        <v>0.0</v>
      </c>
      <c r="I133" s="7">
        <v>300.0</v>
      </c>
    </row>
    <row r="134" ht="15.75" customHeight="1">
      <c r="B134" s="7" t="s">
        <v>196</v>
      </c>
      <c r="C134" s="7" t="s">
        <v>197</v>
      </c>
      <c r="D134" s="7">
        <v>450.0</v>
      </c>
      <c r="E134" s="7">
        <v>0.0</v>
      </c>
      <c r="F134" s="7">
        <v>450.0</v>
      </c>
      <c r="G134" s="7">
        <v>0.0</v>
      </c>
      <c r="H134" s="7">
        <v>0.0</v>
      </c>
      <c r="I134" s="7">
        <v>450.0</v>
      </c>
    </row>
    <row r="135" ht="15.75" customHeight="1">
      <c r="B135" s="7" t="s">
        <v>198</v>
      </c>
      <c r="C135" s="7" t="s">
        <v>199</v>
      </c>
      <c r="D135" s="7">
        <v>200.0</v>
      </c>
      <c r="E135" s="7">
        <v>200.0</v>
      </c>
      <c r="F135" s="7">
        <v>0.0</v>
      </c>
      <c r="G135" s="7">
        <v>0.0</v>
      </c>
      <c r="H135" s="7">
        <v>0.0</v>
      </c>
      <c r="I135" s="7">
        <v>200.0</v>
      </c>
    </row>
    <row r="136" ht="15.75" customHeight="1">
      <c r="D136" s="7">
        <f t="shared" ref="D136:F136" si="23">SUM(D129:D135)</f>
        <v>2000</v>
      </c>
      <c r="E136" s="7">
        <f t="shared" si="23"/>
        <v>800</v>
      </c>
      <c r="F136" s="7">
        <f t="shared" si="23"/>
        <v>1200</v>
      </c>
      <c r="I136" s="7">
        <f>SUM(I129:I135)</f>
        <v>2000</v>
      </c>
      <c r="K136" s="7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</row>
    <row r="138" ht="15.75" customHeight="1">
      <c r="A138" s="8">
        <v>45366.0</v>
      </c>
      <c r="B138" s="7" t="s">
        <v>200</v>
      </c>
      <c r="C138" s="7" t="s">
        <v>201</v>
      </c>
      <c r="D138" s="7">
        <v>600.0</v>
      </c>
      <c r="E138" s="7">
        <v>600.0</v>
      </c>
      <c r="F138" s="7">
        <v>0.0</v>
      </c>
      <c r="G138" s="7">
        <v>0.0</v>
      </c>
      <c r="H138" s="7">
        <v>0.0</v>
      </c>
      <c r="I138" s="7">
        <v>600.0</v>
      </c>
    </row>
    <row r="139" ht="15.75" customHeight="1">
      <c r="B139" s="7" t="s">
        <v>56</v>
      </c>
      <c r="C139" s="7" t="s">
        <v>202</v>
      </c>
      <c r="D139" s="7">
        <v>400.0</v>
      </c>
      <c r="E139" s="7">
        <v>400.0</v>
      </c>
      <c r="F139" s="7">
        <v>0.0</v>
      </c>
      <c r="G139" s="7">
        <v>0.0</v>
      </c>
      <c r="H139" s="7">
        <v>400.0</v>
      </c>
      <c r="I139" s="7">
        <v>0.0</v>
      </c>
    </row>
    <row r="140" ht="15.75" customHeight="1">
      <c r="D140" s="7">
        <f t="shared" ref="D140:E140" si="24">SUM(D138:D139)</f>
        <v>1000</v>
      </c>
      <c r="E140" s="7">
        <f t="shared" si="24"/>
        <v>1000</v>
      </c>
      <c r="H140" s="7">
        <f t="shared" ref="H140:I140" si="25">SUM(H138:H139)</f>
        <v>400</v>
      </c>
      <c r="I140" s="7">
        <f t="shared" si="25"/>
        <v>600</v>
      </c>
      <c r="K140" s="7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</row>
    <row r="143" ht="15.75" customHeight="1">
      <c r="A143" s="8">
        <v>45369.0</v>
      </c>
      <c r="B143" s="7" t="s">
        <v>203</v>
      </c>
      <c r="C143" s="7" t="s">
        <v>204</v>
      </c>
      <c r="D143" s="7">
        <v>200.0</v>
      </c>
      <c r="E143" s="7">
        <v>200.0</v>
      </c>
      <c r="F143" s="7">
        <v>0.0</v>
      </c>
      <c r="G143" s="7">
        <v>0.0</v>
      </c>
      <c r="H143" s="7">
        <v>0.0</v>
      </c>
      <c r="I143" s="7">
        <v>0.0</v>
      </c>
    </row>
    <row r="144" ht="15.75" customHeight="1">
      <c r="B144" s="7" t="s">
        <v>205</v>
      </c>
      <c r="C144" s="7" t="s">
        <v>206</v>
      </c>
      <c r="D144" s="7">
        <v>200.0</v>
      </c>
      <c r="E144" s="7">
        <v>0.0</v>
      </c>
      <c r="F144" s="7">
        <v>200.0</v>
      </c>
      <c r="G144" s="7">
        <v>0.0</v>
      </c>
      <c r="H144" s="7">
        <v>0.0</v>
      </c>
      <c r="I144" s="7">
        <v>200.0</v>
      </c>
    </row>
    <row r="145" ht="15.75" customHeight="1">
      <c r="B145" s="7" t="s">
        <v>207</v>
      </c>
      <c r="C145" s="7" t="s">
        <v>208</v>
      </c>
      <c r="D145" s="7">
        <v>800.0</v>
      </c>
      <c r="E145" s="7">
        <v>800.0</v>
      </c>
      <c r="F145" s="7">
        <v>0.0</v>
      </c>
      <c r="G145" s="7">
        <v>0.0</v>
      </c>
      <c r="H145" s="7">
        <v>0.0</v>
      </c>
      <c r="I145" s="7">
        <v>0.0</v>
      </c>
    </row>
    <row r="146" ht="15.75" customHeight="1">
      <c r="B146" s="7" t="s">
        <v>209</v>
      </c>
      <c r="C146" s="7" t="s">
        <v>210</v>
      </c>
      <c r="D146" s="7">
        <v>400.0</v>
      </c>
      <c r="E146" s="7">
        <v>400.0</v>
      </c>
      <c r="F146" s="7">
        <v>0.0</v>
      </c>
      <c r="G146" s="7">
        <v>0.0</v>
      </c>
      <c r="H146" s="7">
        <v>0.0</v>
      </c>
      <c r="I146" s="7">
        <v>0.0</v>
      </c>
    </row>
    <row r="147" ht="15.75" customHeight="1">
      <c r="D147" s="7">
        <f t="shared" ref="D147:E147" si="26">SUM(D143:D146)</f>
        <v>1600</v>
      </c>
      <c r="E147" s="7">
        <f t="shared" si="26"/>
        <v>1400</v>
      </c>
      <c r="F147" s="7">
        <v>200.0</v>
      </c>
      <c r="G147" s="7">
        <v>0.0</v>
      </c>
      <c r="H147" s="7">
        <v>0.0</v>
      </c>
      <c r="I147" s="7">
        <v>0.0</v>
      </c>
      <c r="K147" s="7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</row>
    <row r="149" ht="15.75" customHeight="1">
      <c r="A149" s="30">
        <v>45370.0</v>
      </c>
      <c r="B149" s="31" t="s">
        <v>211</v>
      </c>
      <c r="C149" s="31" t="s">
        <v>212</v>
      </c>
      <c r="D149" s="31">
        <v>150.0</v>
      </c>
      <c r="E149" s="31">
        <v>0.0</v>
      </c>
      <c r="F149" s="31">
        <v>150.0</v>
      </c>
      <c r="G149" s="31">
        <v>0.0</v>
      </c>
      <c r="H149" s="31">
        <v>0.0</v>
      </c>
      <c r="I149" s="31">
        <v>150.0</v>
      </c>
    </row>
    <row r="150" ht="15.75" customHeight="1">
      <c r="B150" s="7" t="s">
        <v>213</v>
      </c>
      <c r="C150" s="7" t="s">
        <v>214</v>
      </c>
      <c r="D150" s="7">
        <v>150.0</v>
      </c>
      <c r="E150" s="7">
        <v>150.0</v>
      </c>
      <c r="F150" s="7">
        <v>0.0</v>
      </c>
      <c r="G150" s="7">
        <v>0.0</v>
      </c>
      <c r="H150" s="7">
        <v>150.0</v>
      </c>
      <c r="I150" s="7">
        <v>0.0</v>
      </c>
    </row>
    <row r="151" ht="15.75" customHeight="1">
      <c r="A151" s="7"/>
      <c r="B151" s="7" t="s">
        <v>193</v>
      </c>
      <c r="C151" s="7" t="s">
        <v>215</v>
      </c>
      <c r="D151" s="7">
        <v>200.0</v>
      </c>
      <c r="E151" s="7">
        <v>200.0</v>
      </c>
      <c r="F151" s="7">
        <v>0.0</v>
      </c>
      <c r="G151" s="7">
        <v>0.0</v>
      </c>
      <c r="H151" s="7">
        <v>0.0</v>
      </c>
      <c r="I151" s="7">
        <v>0.0</v>
      </c>
    </row>
    <row r="152" ht="15.75" customHeight="1">
      <c r="A152" s="7" t="s">
        <v>25</v>
      </c>
      <c r="B152" s="7"/>
      <c r="C152" s="7"/>
      <c r="D152" s="7">
        <f t="shared" ref="D152:F152" si="27">SUM(D149:D151)</f>
        <v>500</v>
      </c>
      <c r="E152" s="7">
        <f t="shared" si="27"/>
        <v>350</v>
      </c>
      <c r="F152" s="7">
        <f t="shared" si="27"/>
        <v>150</v>
      </c>
      <c r="K152" s="7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ht="15.75" customHeight="1">
      <c r="A154" s="8">
        <v>45371.0</v>
      </c>
      <c r="B154" s="7" t="s">
        <v>16</v>
      </c>
      <c r="C154" s="7" t="s">
        <v>216</v>
      </c>
      <c r="D154" s="7">
        <v>150.0</v>
      </c>
      <c r="E154" s="7">
        <v>0.0</v>
      </c>
      <c r="F154" s="7">
        <v>150.0</v>
      </c>
      <c r="G154" s="7">
        <v>0.0</v>
      </c>
      <c r="H154" s="7">
        <v>0.0</v>
      </c>
      <c r="I154" s="7">
        <v>150.0</v>
      </c>
    </row>
    <row r="155" ht="15.75" customHeight="1">
      <c r="B155" s="16" t="s">
        <v>217</v>
      </c>
      <c r="C155" s="7" t="s">
        <v>218</v>
      </c>
      <c r="D155" s="7">
        <v>300.0</v>
      </c>
      <c r="E155" s="7">
        <v>300.0</v>
      </c>
      <c r="F155" s="7">
        <v>0.0</v>
      </c>
      <c r="G155" s="7">
        <v>0.0</v>
      </c>
      <c r="H155" s="7">
        <v>0.0</v>
      </c>
      <c r="I155" s="7">
        <v>300.0</v>
      </c>
    </row>
    <row r="156" ht="15.75" customHeight="1">
      <c r="B156" s="7" t="s">
        <v>193</v>
      </c>
      <c r="C156" s="7" t="s">
        <v>219</v>
      </c>
      <c r="D156" s="7">
        <v>350.0</v>
      </c>
      <c r="E156" s="7">
        <v>0.0</v>
      </c>
      <c r="F156" s="7">
        <v>350.0</v>
      </c>
      <c r="G156" s="7">
        <v>0.0</v>
      </c>
      <c r="H156" s="7">
        <v>0.0</v>
      </c>
      <c r="I156" s="7">
        <v>350.0</v>
      </c>
    </row>
    <row r="157" ht="15.75" customHeight="1">
      <c r="B157" s="7" t="s">
        <v>220</v>
      </c>
      <c r="C157" s="7" t="s">
        <v>221</v>
      </c>
      <c r="D157" s="7">
        <v>300.0</v>
      </c>
      <c r="E157" s="7">
        <v>0.0</v>
      </c>
      <c r="F157" s="7">
        <v>300.0</v>
      </c>
      <c r="G157" s="7">
        <v>0.0</v>
      </c>
      <c r="H157" s="7">
        <v>0.0</v>
      </c>
      <c r="I157" s="7">
        <v>300.0</v>
      </c>
    </row>
    <row r="158" ht="15.75" customHeight="1">
      <c r="D158" s="7">
        <f t="shared" ref="D158:F158" si="28">SUM(D154:D157)</f>
        <v>1100</v>
      </c>
      <c r="E158" s="7">
        <f t="shared" si="28"/>
        <v>300</v>
      </c>
      <c r="F158" s="7">
        <f t="shared" si="28"/>
        <v>800</v>
      </c>
      <c r="I158" s="7">
        <f>SUM(I154:I157)</f>
        <v>1100</v>
      </c>
      <c r="K158" s="7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ht="15.75" customHeight="1">
      <c r="A160" s="8">
        <v>45372.0</v>
      </c>
      <c r="B160" s="7" t="s">
        <v>222</v>
      </c>
      <c r="C160" s="7" t="s">
        <v>223</v>
      </c>
      <c r="D160" s="7">
        <v>100.0</v>
      </c>
      <c r="E160" s="7">
        <v>100.0</v>
      </c>
      <c r="F160" s="7">
        <v>0.0</v>
      </c>
      <c r="G160" s="7">
        <v>0.0</v>
      </c>
      <c r="H160" s="7">
        <v>0.0</v>
      </c>
      <c r="I160" s="7">
        <v>100.0</v>
      </c>
    </row>
    <row r="161" ht="15.75" customHeight="1">
      <c r="B161" s="7" t="s">
        <v>224</v>
      </c>
      <c r="C161" s="7" t="s">
        <v>225</v>
      </c>
      <c r="D161" s="7">
        <v>200.0</v>
      </c>
      <c r="E161" s="7">
        <v>200.0</v>
      </c>
      <c r="F161" s="7">
        <v>0.0</v>
      </c>
      <c r="G161" s="7">
        <v>0.0</v>
      </c>
      <c r="H161" s="7">
        <v>0.0</v>
      </c>
      <c r="I161" s="7">
        <v>200.0</v>
      </c>
    </row>
    <row r="162" ht="15.75" customHeight="1">
      <c r="B162" s="7" t="s">
        <v>226</v>
      </c>
      <c r="C162" s="7" t="s">
        <v>227</v>
      </c>
      <c r="D162" s="7">
        <v>0.0</v>
      </c>
      <c r="E162" s="7">
        <v>0.0</v>
      </c>
      <c r="F162" s="7">
        <v>0.0</v>
      </c>
      <c r="G162" s="7">
        <v>0.0</v>
      </c>
      <c r="H162" s="7">
        <v>0.0</v>
      </c>
      <c r="I162" s="7">
        <v>0.0</v>
      </c>
    </row>
    <row r="163" ht="15.75" customHeight="1">
      <c r="B163" s="7" t="s">
        <v>173</v>
      </c>
      <c r="C163" s="7" t="s">
        <v>228</v>
      </c>
      <c r="D163" s="7">
        <v>500.0</v>
      </c>
      <c r="E163" s="7">
        <v>500.0</v>
      </c>
      <c r="F163" s="7">
        <v>0.0</v>
      </c>
      <c r="G163" s="7">
        <v>0.0</v>
      </c>
      <c r="H163" s="7">
        <v>0.0</v>
      </c>
      <c r="I163" s="7">
        <v>500.0</v>
      </c>
    </row>
    <row r="164" ht="15.75" customHeight="1">
      <c r="B164" s="7" t="s">
        <v>229</v>
      </c>
      <c r="C164" s="7" t="s">
        <v>230</v>
      </c>
      <c r="D164" s="7">
        <v>1600.0</v>
      </c>
      <c r="E164" s="7">
        <v>0.0</v>
      </c>
      <c r="F164" s="7">
        <v>0.0</v>
      </c>
      <c r="G164" s="7">
        <v>1600.0</v>
      </c>
      <c r="H164" s="7"/>
      <c r="I164" s="7">
        <v>1600.0</v>
      </c>
    </row>
    <row r="165" ht="15.75" customHeight="1">
      <c r="A165" s="7" t="s">
        <v>65</v>
      </c>
      <c r="C165" s="7" t="s">
        <v>65</v>
      </c>
      <c r="D165" s="29">
        <f t="shared" ref="D165:E165" si="29">SUM(D160:D164)</f>
        <v>2400</v>
      </c>
      <c r="E165" s="7">
        <f t="shared" si="29"/>
        <v>800</v>
      </c>
      <c r="F165" s="7">
        <v>0.0</v>
      </c>
      <c r="G165" s="7">
        <v>1600.0</v>
      </c>
      <c r="I165" s="7">
        <f>SUM(I160:I164)</f>
        <v>2400</v>
      </c>
      <c r="K165" s="7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ht="15.75" customHeight="1">
      <c r="A167" s="8">
        <v>45373.0</v>
      </c>
      <c r="B167" s="7" t="s">
        <v>231</v>
      </c>
      <c r="C167" s="7" t="s">
        <v>232</v>
      </c>
      <c r="D167" s="7">
        <v>200.0</v>
      </c>
      <c r="E167" s="7">
        <v>200.0</v>
      </c>
      <c r="F167" s="7">
        <v>0.0</v>
      </c>
      <c r="G167" s="7">
        <v>0.0</v>
      </c>
      <c r="H167" s="7">
        <v>0.0</v>
      </c>
      <c r="I167" s="7">
        <v>200.0</v>
      </c>
      <c r="K167" s="7"/>
    </row>
    <row r="168" ht="15.75" customHeight="1"/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ht="15.75" customHeight="1">
      <c r="A171" s="8">
        <v>45376.0</v>
      </c>
      <c r="B171" s="7" t="s">
        <v>233</v>
      </c>
      <c r="C171" s="7" t="s">
        <v>234</v>
      </c>
      <c r="D171" s="7">
        <v>150.0</v>
      </c>
      <c r="E171" s="7">
        <v>150.0</v>
      </c>
      <c r="F171" s="7">
        <v>0.0</v>
      </c>
      <c r="G171" s="7">
        <v>0.0</v>
      </c>
      <c r="H171" s="7">
        <v>0.0</v>
      </c>
      <c r="I171" s="7">
        <v>150.0</v>
      </c>
    </row>
    <row r="172" ht="15.75" customHeight="1">
      <c r="B172" s="7" t="s">
        <v>235</v>
      </c>
      <c r="C172" s="7" t="s">
        <v>236</v>
      </c>
      <c r="D172" s="14">
        <v>1250.0</v>
      </c>
      <c r="E172" s="7">
        <v>700.0</v>
      </c>
      <c r="F172" s="7">
        <v>530.0</v>
      </c>
      <c r="G172" s="7">
        <v>0.0</v>
      </c>
      <c r="H172" s="7">
        <v>0.0</v>
      </c>
      <c r="I172" s="7">
        <v>1250.0</v>
      </c>
    </row>
    <row r="173" ht="15.75" customHeight="1">
      <c r="B173" s="7" t="s">
        <v>237</v>
      </c>
      <c r="C173" s="7" t="s">
        <v>238</v>
      </c>
      <c r="D173" s="7">
        <v>350.0</v>
      </c>
      <c r="E173" s="7">
        <v>0.0</v>
      </c>
      <c r="F173" s="7">
        <v>350.0</v>
      </c>
      <c r="G173" s="7">
        <v>0.0</v>
      </c>
      <c r="H173" s="7">
        <v>0.0</v>
      </c>
      <c r="I173" s="7">
        <v>350.0</v>
      </c>
    </row>
    <row r="174" ht="15.75" customHeight="1">
      <c r="A174" s="29" t="s">
        <v>239</v>
      </c>
      <c r="B174" s="29"/>
      <c r="C174" s="29"/>
      <c r="D174" s="29">
        <f t="shared" ref="D174:F174" si="30">SUM(D171:D173)</f>
        <v>1750</v>
      </c>
      <c r="E174" s="29">
        <f t="shared" si="30"/>
        <v>850</v>
      </c>
      <c r="F174" s="29">
        <f t="shared" si="30"/>
        <v>880</v>
      </c>
      <c r="G174" s="29"/>
      <c r="H174" s="29"/>
      <c r="I174" s="29">
        <f>SUM(I171:I173)</f>
        <v>1750</v>
      </c>
      <c r="K174" s="7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29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28" t="s">
        <v>32</v>
      </c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7" t="s">
        <v>13</v>
      </c>
      <c r="L178" s="7" t="s">
        <v>10</v>
      </c>
      <c r="M178" s="7" t="s">
        <v>11</v>
      </c>
      <c r="N178" s="7" t="s">
        <v>14</v>
      </c>
    </row>
    <row r="179" ht="15.75" customHeight="1">
      <c r="A179" s="8">
        <v>45383.0</v>
      </c>
      <c r="B179" s="7" t="s">
        <v>240</v>
      </c>
      <c r="C179" s="7" t="s">
        <v>241</v>
      </c>
      <c r="D179" s="7">
        <v>1500.0</v>
      </c>
      <c r="E179" s="7">
        <v>0.0</v>
      </c>
      <c r="F179" s="7">
        <v>0.0</v>
      </c>
      <c r="G179" s="7">
        <v>1500.0</v>
      </c>
      <c r="H179" s="7">
        <v>0.0</v>
      </c>
      <c r="I179" s="7">
        <v>1500.0</v>
      </c>
      <c r="K179" s="7">
        <v>2550.0</v>
      </c>
      <c r="L179" s="7">
        <v>200.0</v>
      </c>
      <c r="M179" s="7">
        <v>850.0</v>
      </c>
      <c r="N179" s="7">
        <v>200.0</v>
      </c>
    </row>
    <row r="180" ht="15.75" customHeight="1">
      <c r="B180" s="7" t="s">
        <v>233</v>
      </c>
      <c r="C180" s="7" t="s">
        <v>242</v>
      </c>
      <c r="D180" s="7">
        <v>200.0</v>
      </c>
      <c r="E180" s="7">
        <v>200.0</v>
      </c>
      <c r="F180" s="7">
        <v>0.0</v>
      </c>
      <c r="G180" s="7">
        <v>0.0</v>
      </c>
      <c r="H180" s="7">
        <v>200.0</v>
      </c>
      <c r="I180" s="7">
        <v>0.0</v>
      </c>
      <c r="K180" s="7">
        <v>2750.0</v>
      </c>
      <c r="L180" s="7">
        <v>500.0</v>
      </c>
      <c r="M180" s="7">
        <v>1500.0</v>
      </c>
      <c r="N180" s="7">
        <v>750.0</v>
      </c>
    </row>
    <row r="181" ht="15.75" customHeight="1">
      <c r="B181" s="7" t="s">
        <v>34</v>
      </c>
      <c r="C181" s="7" t="s">
        <v>243</v>
      </c>
      <c r="D181" s="7">
        <v>600.0</v>
      </c>
      <c r="E181" s="7">
        <v>0.0</v>
      </c>
      <c r="F181" s="7">
        <v>600.0</v>
      </c>
      <c r="G181" s="7">
        <v>0.0</v>
      </c>
      <c r="H181" s="7">
        <v>0.0</v>
      </c>
      <c r="I181" s="7">
        <v>600.0</v>
      </c>
      <c r="K181" s="7">
        <v>1500.0</v>
      </c>
      <c r="L181" s="7">
        <v>250.0</v>
      </c>
      <c r="M181" s="7">
        <v>0.0</v>
      </c>
      <c r="N181" s="7">
        <v>1250.0</v>
      </c>
    </row>
    <row r="182" ht="15.75" customHeight="1">
      <c r="B182" s="7" t="s">
        <v>244</v>
      </c>
      <c r="C182" s="7" t="s">
        <v>245</v>
      </c>
      <c r="D182" s="7">
        <v>250.0</v>
      </c>
      <c r="F182" s="7">
        <v>250.0</v>
      </c>
      <c r="G182" s="7">
        <v>0.0</v>
      </c>
      <c r="H182" s="7">
        <v>0.0</v>
      </c>
      <c r="I182" s="7">
        <v>250.0</v>
      </c>
      <c r="K182" s="7">
        <v>1590.0</v>
      </c>
      <c r="L182" s="7">
        <v>450.0</v>
      </c>
      <c r="M182" s="7">
        <v>890.0</v>
      </c>
    </row>
    <row r="183" ht="15.75" customHeight="1">
      <c r="D183" s="7">
        <f t="shared" ref="D183:E183" si="31">SUM(D179:D182)</f>
        <v>2550</v>
      </c>
      <c r="E183" s="7">
        <f t="shared" si="31"/>
        <v>200</v>
      </c>
      <c r="F183" s="7">
        <f>SUM(F181:F182)</f>
        <v>850</v>
      </c>
      <c r="H183" s="7">
        <f t="shared" ref="H183:I183" si="32">SUM(H179:H182)</f>
        <v>200</v>
      </c>
      <c r="I183" s="7">
        <f t="shared" si="32"/>
        <v>2350</v>
      </c>
      <c r="K183" s="7">
        <v>1950.0</v>
      </c>
      <c r="L183" s="7">
        <v>750.0</v>
      </c>
      <c r="M183" s="7">
        <v>1200.0</v>
      </c>
    </row>
    <row r="184" ht="15.75" customHeight="1">
      <c r="A184" s="13"/>
      <c r="B184" s="13"/>
      <c r="C184" s="13"/>
      <c r="D184" s="13" t="s">
        <v>246</v>
      </c>
      <c r="E184" s="13" t="s">
        <v>19</v>
      </c>
      <c r="F184" s="13" t="s">
        <v>20</v>
      </c>
      <c r="G184" s="13" t="s">
        <v>5</v>
      </c>
      <c r="H184" s="13"/>
      <c r="I184" s="13"/>
      <c r="J184" s="13"/>
      <c r="K184" s="7">
        <v>800.0</v>
      </c>
      <c r="L184" s="7">
        <v>300.0</v>
      </c>
      <c r="M184" s="7">
        <v>500.0</v>
      </c>
    </row>
    <row r="185" ht="15.75" customHeight="1">
      <c r="A185" s="8">
        <v>45384.0</v>
      </c>
      <c r="B185" s="7" t="s">
        <v>247</v>
      </c>
      <c r="C185" s="7" t="s">
        <v>248</v>
      </c>
      <c r="D185" s="7">
        <v>350.0</v>
      </c>
      <c r="E185" s="7">
        <v>0.0</v>
      </c>
      <c r="F185" s="7">
        <v>350.0</v>
      </c>
      <c r="G185" s="7">
        <v>0.0</v>
      </c>
      <c r="H185" s="7">
        <v>0.0</v>
      </c>
      <c r="I185" s="7">
        <v>350.0</v>
      </c>
      <c r="K185" s="29">
        <v>2150.0</v>
      </c>
      <c r="L185" s="7">
        <v>883.92</v>
      </c>
      <c r="M185" s="7">
        <v>1650.0</v>
      </c>
    </row>
    <row r="186" ht="15.75" customHeight="1">
      <c r="B186" s="7" t="s">
        <v>105</v>
      </c>
      <c r="C186" s="7" t="s">
        <v>249</v>
      </c>
      <c r="D186" s="7">
        <v>250.0</v>
      </c>
      <c r="E186" s="7">
        <v>250.0</v>
      </c>
      <c r="F186" s="7">
        <v>0.0</v>
      </c>
      <c r="G186" s="7">
        <v>0.0</v>
      </c>
      <c r="H186" s="7">
        <v>0.0</v>
      </c>
      <c r="I186" s="7">
        <v>250.0</v>
      </c>
      <c r="K186" s="7">
        <v>550.0</v>
      </c>
      <c r="L186" s="7">
        <v>350.0</v>
      </c>
      <c r="M186" s="7">
        <v>200.0</v>
      </c>
    </row>
    <row r="187" ht="15.75" customHeight="1">
      <c r="B187" s="7" t="s">
        <v>250</v>
      </c>
      <c r="C187" s="7" t="s">
        <v>251</v>
      </c>
      <c r="D187" s="7">
        <v>250.0</v>
      </c>
      <c r="E187" s="7">
        <v>0.0</v>
      </c>
      <c r="F187" s="7">
        <v>250.0</v>
      </c>
      <c r="G187" s="7">
        <v>0.0</v>
      </c>
      <c r="H187" s="7">
        <v>0.0</v>
      </c>
      <c r="I187" s="7">
        <v>250.0</v>
      </c>
      <c r="K187" s="7">
        <v>4600.0</v>
      </c>
      <c r="L187" s="7">
        <v>2090.0</v>
      </c>
      <c r="M187" s="7">
        <v>700.0</v>
      </c>
      <c r="N187" s="7">
        <v>1810.0</v>
      </c>
    </row>
    <row r="188" ht="15.75" customHeight="1">
      <c r="B188" s="7" t="s">
        <v>252</v>
      </c>
      <c r="C188" s="7" t="s">
        <v>253</v>
      </c>
      <c r="D188" s="7">
        <v>300.0</v>
      </c>
      <c r="E188" s="7">
        <v>0.0</v>
      </c>
      <c r="F188" s="32">
        <v>300.0</v>
      </c>
      <c r="G188" s="7">
        <v>0.0</v>
      </c>
      <c r="H188" s="7">
        <v>0.0</v>
      </c>
      <c r="I188" s="7">
        <v>250.0</v>
      </c>
      <c r="K188" s="7">
        <v>3300.0</v>
      </c>
      <c r="L188" s="7">
        <v>2750.0</v>
      </c>
      <c r="M188" s="7">
        <v>550.0</v>
      </c>
      <c r="N188" s="7"/>
    </row>
    <row r="189" ht="15.75" customHeight="1">
      <c r="B189" s="7" t="s">
        <v>254</v>
      </c>
      <c r="C189" s="7" t="s">
        <v>255</v>
      </c>
      <c r="D189" s="7">
        <v>300.0</v>
      </c>
      <c r="E189" s="7">
        <v>0.0</v>
      </c>
      <c r="F189" s="7">
        <v>300.0</v>
      </c>
      <c r="G189" s="7">
        <v>0.0</v>
      </c>
      <c r="H189" s="7">
        <v>0.0</v>
      </c>
      <c r="I189" s="7">
        <v>300.0</v>
      </c>
      <c r="K189" s="7">
        <v>2700.0</v>
      </c>
      <c r="L189" s="7">
        <v>350.0</v>
      </c>
      <c r="M189" s="7">
        <v>1300.0</v>
      </c>
      <c r="N189" s="7">
        <v>1050.0</v>
      </c>
    </row>
    <row r="190" ht="15.75" customHeight="1">
      <c r="B190" s="7" t="s">
        <v>256</v>
      </c>
      <c r="C190" s="7" t="s">
        <v>255</v>
      </c>
      <c r="D190" s="7">
        <v>300.0</v>
      </c>
      <c r="E190" s="7">
        <v>0.0</v>
      </c>
      <c r="F190" s="7">
        <v>300.0</v>
      </c>
      <c r="G190" s="7">
        <v>0.0</v>
      </c>
      <c r="H190" s="7">
        <v>0.0</v>
      </c>
      <c r="I190" s="7">
        <v>300.0</v>
      </c>
      <c r="K190" s="7">
        <v>4175.0</v>
      </c>
      <c r="L190" s="7">
        <v>1950.0</v>
      </c>
      <c r="M190" s="7">
        <v>2225.0</v>
      </c>
    </row>
    <row r="191" ht="15.75" customHeight="1">
      <c r="B191" s="7" t="s">
        <v>257</v>
      </c>
      <c r="C191" s="7" t="s">
        <v>258</v>
      </c>
      <c r="D191" s="7">
        <v>750.0</v>
      </c>
      <c r="E191" s="7">
        <v>0.0</v>
      </c>
      <c r="F191" s="7">
        <v>0.0</v>
      </c>
      <c r="G191" s="7">
        <v>750.0</v>
      </c>
      <c r="H191" s="7">
        <v>0.0</v>
      </c>
      <c r="I191" s="7">
        <v>0.0</v>
      </c>
      <c r="K191" s="7">
        <v>1760.0</v>
      </c>
      <c r="L191" s="7">
        <v>200.0</v>
      </c>
      <c r="M191" s="7">
        <v>1560.0</v>
      </c>
    </row>
    <row r="192" ht="15.75" customHeight="1">
      <c r="B192" s="7" t="s">
        <v>259</v>
      </c>
      <c r="C192" s="7" t="s">
        <v>260</v>
      </c>
      <c r="D192" s="7">
        <v>150.0</v>
      </c>
      <c r="E192" s="7">
        <v>150.0</v>
      </c>
      <c r="F192" s="7">
        <v>0.0</v>
      </c>
      <c r="G192" s="7">
        <v>0.0</v>
      </c>
      <c r="H192" s="7">
        <v>150.0</v>
      </c>
      <c r="I192" s="7">
        <v>0.0</v>
      </c>
      <c r="K192" s="7">
        <v>1050.0</v>
      </c>
      <c r="L192" s="7">
        <v>700.0</v>
      </c>
      <c r="M192" s="7">
        <v>350.0</v>
      </c>
    </row>
    <row r="193" ht="15.75" customHeight="1">
      <c r="B193" s="7" t="s">
        <v>261</v>
      </c>
      <c r="C193" s="7" t="s">
        <v>262</v>
      </c>
      <c r="D193" s="7">
        <v>100.0</v>
      </c>
      <c r="E193" s="7">
        <v>100.0</v>
      </c>
      <c r="F193" s="7">
        <v>0.0</v>
      </c>
      <c r="G193" s="7">
        <v>0.0</v>
      </c>
      <c r="H193" s="7">
        <v>0.0</v>
      </c>
      <c r="I193" s="7">
        <v>1000.0</v>
      </c>
      <c r="K193" s="7">
        <v>2370.0</v>
      </c>
      <c r="L193" s="7">
        <v>1975.0</v>
      </c>
      <c r="M193" s="7">
        <v>35.0</v>
      </c>
      <c r="N193" s="7">
        <v>300.0</v>
      </c>
    </row>
    <row r="194" ht="15.75" customHeight="1">
      <c r="D194" s="7">
        <f t="shared" ref="D194:F194" si="33">SUM(D185:D193)</f>
        <v>2750</v>
      </c>
      <c r="E194" s="7">
        <f t="shared" si="33"/>
        <v>500</v>
      </c>
      <c r="F194" s="7">
        <f t="shared" si="33"/>
        <v>1500</v>
      </c>
      <c r="G194" s="7">
        <v>750.0</v>
      </c>
      <c r="K194" s="7">
        <v>1070.0</v>
      </c>
      <c r="L194" s="7">
        <v>800.0</v>
      </c>
      <c r="M194" s="7">
        <v>270.0</v>
      </c>
    </row>
    <row r="195" ht="15.75" customHeight="1">
      <c r="D195" s="7" t="s">
        <v>119</v>
      </c>
      <c r="E195" s="7" t="s">
        <v>263</v>
      </c>
      <c r="F195" s="7" t="s">
        <v>264</v>
      </c>
      <c r="G195" s="7" t="s">
        <v>265</v>
      </c>
      <c r="K195" s="7">
        <v>2185.0</v>
      </c>
      <c r="L195" s="7">
        <v>100.0</v>
      </c>
      <c r="M195" s="7">
        <v>1085.0</v>
      </c>
      <c r="N195" s="7">
        <v>1000.0</v>
      </c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7">
        <v>3835.0</v>
      </c>
      <c r="L196" s="7">
        <v>1485.0</v>
      </c>
      <c r="M196" s="7">
        <v>2350.0</v>
      </c>
    </row>
    <row r="197" ht="15.75" customHeight="1">
      <c r="A197" s="8">
        <v>45385.0</v>
      </c>
      <c r="B197" s="7" t="s">
        <v>266</v>
      </c>
      <c r="C197" s="7" t="s">
        <v>267</v>
      </c>
      <c r="D197" s="7">
        <v>1250.0</v>
      </c>
      <c r="E197" s="7">
        <v>0.0</v>
      </c>
      <c r="F197" s="7">
        <v>0.0</v>
      </c>
      <c r="G197" s="7">
        <v>1250.0</v>
      </c>
      <c r="H197" s="7">
        <v>0.0</v>
      </c>
      <c r="I197" s="7">
        <v>1250.0</v>
      </c>
      <c r="K197" s="7">
        <v>3025.0</v>
      </c>
      <c r="L197" s="7">
        <v>940.0</v>
      </c>
      <c r="M197" s="7">
        <v>1385.0</v>
      </c>
      <c r="N197" s="7">
        <v>650.0</v>
      </c>
    </row>
    <row r="198" ht="21.0" customHeight="1">
      <c r="B198" s="7" t="s">
        <v>268</v>
      </c>
      <c r="C198" s="33" t="s">
        <v>269</v>
      </c>
      <c r="D198" s="7">
        <v>250.0</v>
      </c>
      <c r="E198" s="7">
        <v>250.0</v>
      </c>
      <c r="F198" s="7">
        <v>0.0</v>
      </c>
      <c r="G198" s="7">
        <v>0.0</v>
      </c>
      <c r="H198" s="7">
        <v>0.0</v>
      </c>
      <c r="I198" s="7">
        <v>250.0</v>
      </c>
      <c r="K198" s="7">
        <v>2000.0</v>
      </c>
      <c r="L198" s="7">
        <v>0.0</v>
      </c>
      <c r="M198" s="7">
        <v>2000.0</v>
      </c>
    </row>
    <row r="199" ht="15.75" customHeight="1">
      <c r="D199" s="7">
        <f t="shared" ref="D199:E199" si="34">SUM(D197:D198)</f>
        <v>1500</v>
      </c>
      <c r="E199" s="7">
        <f t="shared" si="34"/>
        <v>250</v>
      </c>
      <c r="F199" s="7">
        <v>0.0</v>
      </c>
      <c r="G199" s="7">
        <v>0.0</v>
      </c>
      <c r="H199" s="7">
        <v>0.0</v>
      </c>
      <c r="I199" s="7">
        <f>SUM(I197:I198)</f>
        <v>1500</v>
      </c>
      <c r="K199" s="7">
        <f t="shared" ref="K199:N199" si="35">SUM(K179:K198)</f>
        <v>45910</v>
      </c>
      <c r="L199" s="7">
        <f t="shared" si="35"/>
        <v>17023.92</v>
      </c>
      <c r="M199" s="7">
        <f t="shared" si="35"/>
        <v>20600</v>
      </c>
      <c r="N199" s="7">
        <f t="shared" si="35"/>
        <v>7010</v>
      </c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</row>
    <row r="201" ht="15.75" customHeight="1">
      <c r="A201" s="8">
        <v>45390.0</v>
      </c>
      <c r="B201" s="7" t="s">
        <v>270</v>
      </c>
      <c r="C201" s="7" t="s">
        <v>271</v>
      </c>
      <c r="D201" s="7">
        <v>250.0</v>
      </c>
      <c r="E201" s="7">
        <v>0.0</v>
      </c>
      <c r="F201" s="7">
        <v>0.0</v>
      </c>
      <c r="G201" s="7">
        <v>0.0</v>
      </c>
      <c r="H201" s="7">
        <v>0.0</v>
      </c>
      <c r="I201" s="7">
        <v>250.0</v>
      </c>
    </row>
    <row r="202" ht="15.75" customHeight="1">
      <c r="B202" s="7" t="s">
        <v>272</v>
      </c>
      <c r="C202" s="7" t="s">
        <v>273</v>
      </c>
      <c r="D202" s="7">
        <v>300.0</v>
      </c>
      <c r="E202" s="7">
        <v>300.0</v>
      </c>
      <c r="F202" s="7">
        <v>0.0</v>
      </c>
      <c r="G202" s="7">
        <v>0.0</v>
      </c>
      <c r="H202" s="7">
        <v>0.0</v>
      </c>
      <c r="I202" s="7">
        <v>300.0</v>
      </c>
    </row>
    <row r="203" ht="15.75" customHeight="1">
      <c r="B203" s="7" t="s">
        <v>274</v>
      </c>
      <c r="C203" s="7" t="s">
        <v>275</v>
      </c>
      <c r="D203" s="7">
        <v>350.0</v>
      </c>
      <c r="E203" s="7">
        <v>0.0</v>
      </c>
      <c r="F203" s="7">
        <v>350.0</v>
      </c>
      <c r="G203" s="7">
        <v>0.0</v>
      </c>
      <c r="H203" s="7">
        <v>0.0</v>
      </c>
      <c r="I203" s="7">
        <v>350.0</v>
      </c>
    </row>
    <row r="204" ht="15.75" customHeight="1">
      <c r="B204" s="7" t="s">
        <v>276</v>
      </c>
      <c r="C204" s="7" t="s">
        <v>277</v>
      </c>
      <c r="D204" s="7">
        <v>540.0</v>
      </c>
      <c r="F204" s="7">
        <v>540.0</v>
      </c>
      <c r="G204" s="7">
        <v>0.0</v>
      </c>
      <c r="H204" s="7">
        <v>0.0</v>
      </c>
      <c r="I204" s="7">
        <v>540.0</v>
      </c>
    </row>
    <row r="205" ht="15.75" customHeight="1">
      <c r="B205" s="7" t="s">
        <v>278</v>
      </c>
      <c r="C205" s="7" t="s">
        <v>279</v>
      </c>
      <c r="D205" s="7">
        <v>150.0</v>
      </c>
      <c r="E205" s="7">
        <v>150.0</v>
      </c>
      <c r="F205" s="7">
        <v>0.0</v>
      </c>
      <c r="G205" s="7">
        <v>0.0</v>
      </c>
      <c r="H205" s="7">
        <v>0.0</v>
      </c>
      <c r="I205" s="7">
        <v>150.0</v>
      </c>
    </row>
    <row r="206" ht="15.75" customHeight="1">
      <c r="A206" s="13" t="s">
        <v>119</v>
      </c>
      <c r="B206" s="13"/>
      <c r="C206" s="13"/>
      <c r="D206" s="13">
        <f t="shared" ref="D206:F206" si="36">SUM(D201:D205)</f>
        <v>1590</v>
      </c>
      <c r="E206" s="13">
        <f t="shared" si="36"/>
        <v>450</v>
      </c>
      <c r="F206" s="13">
        <f t="shared" si="36"/>
        <v>890</v>
      </c>
      <c r="G206" s="13"/>
      <c r="H206" s="13"/>
      <c r="I206" s="13">
        <f>SUM(I201:I205)</f>
        <v>1590</v>
      </c>
      <c r="J206" s="13"/>
    </row>
    <row r="207" ht="15.75" customHeight="1">
      <c r="A207" s="8">
        <v>45391.0</v>
      </c>
      <c r="B207" s="7" t="s">
        <v>280</v>
      </c>
      <c r="C207" s="7" t="s">
        <v>281</v>
      </c>
      <c r="D207" s="7">
        <v>300.0</v>
      </c>
      <c r="E207" s="7">
        <v>0.0</v>
      </c>
      <c r="F207" s="7">
        <v>300.0</v>
      </c>
      <c r="G207" s="7">
        <v>0.0</v>
      </c>
      <c r="H207" s="7">
        <v>0.0</v>
      </c>
      <c r="I207" s="7">
        <v>300.0</v>
      </c>
    </row>
    <row r="208" ht="15.75" customHeight="1">
      <c r="B208" s="34" t="s">
        <v>282</v>
      </c>
      <c r="C208" s="7" t="s">
        <v>283</v>
      </c>
      <c r="D208" s="7">
        <v>900.0</v>
      </c>
      <c r="E208" s="7">
        <v>0.0</v>
      </c>
      <c r="F208" s="7">
        <v>900.0</v>
      </c>
      <c r="G208" s="7">
        <v>0.0</v>
      </c>
      <c r="H208" s="7">
        <v>0.0</v>
      </c>
      <c r="I208" s="7">
        <v>900.0</v>
      </c>
    </row>
    <row r="209" ht="15.75" customHeight="1">
      <c r="B209" s="7" t="s">
        <v>96</v>
      </c>
      <c r="C209" s="7" t="s">
        <v>284</v>
      </c>
      <c r="D209" s="7">
        <v>500.0</v>
      </c>
      <c r="E209" s="7">
        <v>500.0</v>
      </c>
      <c r="F209" s="7">
        <v>0.0</v>
      </c>
      <c r="G209" s="7">
        <v>0.0</v>
      </c>
      <c r="H209" s="7">
        <v>0.0</v>
      </c>
      <c r="I209" s="7">
        <v>500.0</v>
      </c>
    </row>
    <row r="210" ht="15.75" customHeight="1">
      <c r="B210" s="7" t="s">
        <v>120</v>
      </c>
      <c r="C210" s="7" t="s">
        <v>285</v>
      </c>
      <c r="D210" s="7">
        <v>250.0</v>
      </c>
      <c r="E210" s="7">
        <v>250.0</v>
      </c>
      <c r="F210" s="7">
        <v>0.0</v>
      </c>
      <c r="G210" s="7">
        <v>0.0</v>
      </c>
      <c r="H210" s="7">
        <v>0.0</v>
      </c>
      <c r="I210" s="7">
        <v>250.0</v>
      </c>
    </row>
    <row r="211" ht="15.75" customHeight="1">
      <c r="A211" s="7" t="s">
        <v>25</v>
      </c>
      <c r="D211" s="7">
        <f t="shared" ref="D211:F211" si="37">SUM(D207:D210)</f>
        <v>1950</v>
      </c>
      <c r="E211" s="7">
        <f t="shared" si="37"/>
        <v>750</v>
      </c>
      <c r="F211" s="7">
        <f t="shared" si="37"/>
        <v>1200</v>
      </c>
      <c r="I211" s="7">
        <f>SUM(I207:I210)</f>
        <v>1950</v>
      </c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</row>
    <row r="213" ht="15.75" customHeight="1">
      <c r="A213" s="8">
        <v>45392.0</v>
      </c>
      <c r="B213" s="7" t="s">
        <v>145</v>
      </c>
      <c r="C213" s="7" t="s">
        <v>286</v>
      </c>
      <c r="D213" s="7">
        <v>300.0</v>
      </c>
      <c r="E213" s="7">
        <v>300.0</v>
      </c>
      <c r="F213" s="7">
        <v>0.0</v>
      </c>
      <c r="G213" s="7">
        <v>0.0</v>
      </c>
      <c r="H213" s="7">
        <v>0.0</v>
      </c>
      <c r="I213" s="7">
        <v>300.0</v>
      </c>
    </row>
    <row r="214" ht="15.75" customHeight="1">
      <c r="B214" s="7" t="s">
        <v>287</v>
      </c>
      <c r="C214" s="7" t="s">
        <v>288</v>
      </c>
      <c r="D214" s="7">
        <v>300.0</v>
      </c>
      <c r="E214" s="7">
        <v>0.0</v>
      </c>
      <c r="F214" s="7">
        <v>300.0</v>
      </c>
      <c r="G214" s="7">
        <v>0.0</v>
      </c>
      <c r="H214" s="7">
        <v>0.0</v>
      </c>
      <c r="I214" s="7">
        <v>300.0</v>
      </c>
    </row>
    <row r="215" ht="15.75" customHeight="1">
      <c r="B215" s="7" t="s">
        <v>182</v>
      </c>
      <c r="C215" s="7" t="s">
        <v>289</v>
      </c>
      <c r="D215" s="7">
        <v>200.0</v>
      </c>
      <c r="E215" s="7">
        <v>0.0</v>
      </c>
      <c r="F215" s="7">
        <v>200.0</v>
      </c>
      <c r="G215" s="7">
        <v>0.0</v>
      </c>
      <c r="H215" s="7">
        <v>200.0</v>
      </c>
      <c r="I215" s="7">
        <v>0.0</v>
      </c>
    </row>
    <row r="216" ht="15.75" customHeight="1">
      <c r="D216" s="7">
        <f>SUM(D213:D215)</f>
        <v>800</v>
      </c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</row>
    <row r="218" ht="15.75" customHeight="1">
      <c r="A218" s="8">
        <v>45393.0</v>
      </c>
      <c r="B218" s="7" t="s">
        <v>16</v>
      </c>
      <c r="C218" s="7" t="s">
        <v>290</v>
      </c>
      <c r="D218" s="7">
        <v>500.0</v>
      </c>
      <c r="E218" s="7">
        <v>0.0</v>
      </c>
      <c r="F218" s="7">
        <v>500.0</v>
      </c>
      <c r="G218" s="7">
        <v>0.0</v>
      </c>
      <c r="H218" s="7">
        <v>0.0</v>
      </c>
      <c r="I218" s="7">
        <v>500.0</v>
      </c>
    </row>
    <row r="219" ht="15.75" customHeight="1">
      <c r="B219" s="7" t="s">
        <v>291</v>
      </c>
      <c r="C219" s="7" t="s">
        <v>292</v>
      </c>
      <c r="D219" s="7">
        <v>300.0</v>
      </c>
      <c r="E219" s="7">
        <v>0.0</v>
      </c>
      <c r="F219" s="7">
        <v>300.0</v>
      </c>
      <c r="G219" s="7">
        <v>0.0</v>
      </c>
      <c r="H219" s="7">
        <v>0.0</v>
      </c>
      <c r="I219" s="7">
        <v>300.0</v>
      </c>
    </row>
    <row r="220" ht="15.75" customHeight="1">
      <c r="B220" s="7" t="s">
        <v>293</v>
      </c>
      <c r="C220" s="7" t="s">
        <v>294</v>
      </c>
      <c r="D220" s="7">
        <v>300.0</v>
      </c>
      <c r="E220" s="7">
        <v>300.0</v>
      </c>
      <c r="F220" s="7">
        <v>0.0</v>
      </c>
      <c r="G220" s="7">
        <v>0.0</v>
      </c>
      <c r="H220" s="7">
        <v>0.0</v>
      </c>
      <c r="I220" s="7">
        <v>300.0</v>
      </c>
    </row>
    <row r="221" ht="15.75" customHeight="1">
      <c r="B221" s="7" t="s">
        <v>295</v>
      </c>
      <c r="C221" s="7" t="s">
        <v>296</v>
      </c>
      <c r="D221" s="7">
        <v>300.0</v>
      </c>
      <c r="E221" s="7">
        <v>0.0</v>
      </c>
      <c r="F221" s="7">
        <v>300.0</v>
      </c>
      <c r="G221" s="7">
        <v>0.0</v>
      </c>
      <c r="H221" s="7">
        <v>0.0</v>
      </c>
      <c r="I221" s="7">
        <v>300.0</v>
      </c>
    </row>
    <row r="222" ht="15.75" customHeight="1">
      <c r="B222" s="7" t="s">
        <v>56</v>
      </c>
      <c r="C222" s="7" t="s">
        <v>297</v>
      </c>
      <c r="D222" s="7">
        <v>200.0</v>
      </c>
      <c r="E222" s="7">
        <v>200.0</v>
      </c>
      <c r="F222" s="7">
        <v>0.0</v>
      </c>
      <c r="G222" s="7">
        <v>0.0</v>
      </c>
      <c r="H222" s="7">
        <v>200.0</v>
      </c>
      <c r="I222" s="7">
        <v>0.0</v>
      </c>
    </row>
    <row r="223" ht="15.75" customHeight="1">
      <c r="B223" s="7" t="s">
        <v>298</v>
      </c>
      <c r="C223" s="7" t="s">
        <v>299</v>
      </c>
      <c r="D223" s="7">
        <v>300.0</v>
      </c>
      <c r="E223" s="7">
        <v>0.0</v>
      </c>
      <c r="F223" s="7">
        <v>300.0</v>
      </c>
      <c r="G223" s="7">
        <v>0.0</v>
      </c>
      <c r="H223" s="7">
        <v>0.0</v>
      </c>
      <c r="I223" s="7">
        <v>300.0</v>
      </c>
    </row>
    <row r="224" ht="15.75" customHeight="1">
      <c r="B224" s="7" t="s">
        <v>131</v>
      </c>
      <c r="C224" s="7" t="s">
        <v>300</v>
      </c>
      <c r="D224" s="7">
        <v>250.0</v>
      </c>
      <c r="E224" s="7">
        <v>0.0</v>
      </c>
      <c r="F224" s="7">
        <v>250.0</v>
      </c>
      <c r="G224" s="7">
        <v>0.0</v>
      </c>
      <c r="H224" s="7">
        <v>0.0</v>
      </c>
      <c r="I224" s="7">
        <v>250.0</v>
      </c>
    </row>
    <row r="225" ht="15.75" customHeight="1">
      <c r="B225" s="7" t="s">
        <v>301</v>
      </c>
      <c r="C225" s="7" t="s">
        <v>302</v>
      </c>
      <c r="D225" s="7">
        <v>383.92</v>
      </c>
      <c r="E225" s="7">
        <v>383.92</v>
      </c>
      <c r="F225" s="7">
        <v>0.0</v>
      </c>
      <c r="G225" s="7">
        <v>0.0</v>
      </c>
      <c r="H225" s="7">
        <v>0.0</v>
      </c>
      <c r="I225" s="7">
        <v>0.0</v>
      </c>
    </row>
    <row r="226" ht="15.75" customHeight="1">
      <c r="A226" s="7" t="s">
        <v>65</v>
      </c>
      <c r="D226" s="29">
        <f t="shared" ref="D226:F226" si="38">SUM(D218:D225)</f>
        <v>2533.92</v>
      </c>
      <c r="E226" s="7">
        <f t="shared" si="38"/>
        <v>883.92</v>
      </c>
      <c r="F226" s="7">
        <f t="shared" si="38"/>
        <v>1650</v>
      </c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</row>
    <row r="228" ht="15.75" customHeight="1">
      <c r="A228" s="8">
        <v>45394.0</v>
      </c>
      <c r="B228" s="7" t="s">
        <v>303</v>
      </c>
      <c r="C228" s="7" t="s">
        <v>304</v>
      </c>
      <c r="D228" s="7">
        <v>250.0</v>
      </c>
      <c r="E228" s="7">
        <v>250.0</v>
      </c>
      <c r="F228" s="7">
        <v>0.0</v>
      </c>
      <c r="G228" s="7">
        <v>0.0</v>
      </c>
      <c r="H228" s="7">
        <v>0.0</v>
      </c>
      <c r="I228" s="7">
        <v>250.0</v>
      </c>
    </row>
    <row r="229" ht="15.75" customHeight="1">
      <c r="B229" s="7" t="s">
        <v>305</v>
      </c>
      <c r="C229" s="7" t="s">
        <v>306</v>
      </c>
      <c r="D229" s="7">
        <v>200.0</v>
      </c>
      <c r="F229" s="7">
        <v>250.0</v>
      </c>
      <c r="G229" s="7">
        <v>0.0</v>
      </c>
      <c r="H229" s="7">
        <v>0.0</v>
      </c>
      <c r="I229" s="7">
        <v>250.0</v>
      </c>
    </row>
    <row r="230" ht="15.75" customHeight="1">
      <c r="B230" s="23" t="s">
        <v>307</v>
      </c>
      <c r="C230" s="7" t="s">
        <v>308</v>
      </c>
      <c r="D230" s="7">
        <v>100.0</v>
      </c>
      <c r="E230" s="7">
        <v>100.0</v>
      </c>
      <c r="F230" s="7">
        <v>0.0</v>
      </c>
      <c r="G230" s="7">
        <v>0.0</v>
      </c>
      <c r="H230" s="7">
        <v>0.0</v>
      </c>
      <c r="I230" s="7">
        <v>100.0</v>
      </c>
    </row>
    <row r="231" ht="15.75" customHeight="1">
      <c r="B231" s="23"/>
      <c r="C231" s="7"/>
      <c r="D231" s="29">
        <f t="shared" ref="D231:E231" si="39">SUM(D228:D230)</f>
        <v>550</v>
      </c>
      <c r="E231" s="7">
        <f t="shared" si="39"/>
        <v>350</v>
      </c>
      <c r="F231" s="7">
        <f>SUM(F227:F230)</f>
        <v>250</v>
      </c>
      <c r="G231" s="7"/>
      <c r="H231" s="7"/>
      <c r="I231" s="7">
        <f>SUM(I228:I230)</f>
        <v>600</v>
      </c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</row>
    <row r="233" ht="15.75" customHeight="1"/>
    <row r="234" ht="15.75" customHeight="1">
      <c r="A234" s="25">
        <v>45397.0</v>
      </c>
      <c r="B234" s="7" t="s">
        <v>72</v>
      </c>
      <c r="C234" s="7" t="s">
        <v>309</v>
      </c>
      <c r="D234" s="7">
        <v>250.0</v>
      </c>
      <c r="E234" s="7">
        <v>0.0</v>
      </c>
      <c r="F234" s="7">
        <v>250.0</v>
      </c>
      <c r="G234" s="7">
        <v>0.0</v>
      </c>
      <c r="H234" s="7">
        <v>0.0</v>
      </c>
      <c r="I234" s="7">
        <v>250.0</v>
      </c>
    </row>
    <row r="235" ht="15.75" customHeight="1">
      <c r="B235" s="7" t="s">
        <v>310</v>
      </c>
      <c r="C235" s="7" t="s">
        <v>311</v>
      </c>
      <c r="D235" s="7">
        <v>60.0</v>
      </c>
      <c r="E235" s="7">
        <v>0.0</v>
      </c>
      <c r="F235" s="7">
        <v>0.0</v>
      </c>
      <c r="G235" s="7">
        <v>60.0</v>
      </c>
      <c r="H235" s="7">
        <v>60.0</v>
      </c>
      <c r="I235" s="7">
        <v>60.0</v>
      </c>
    </row>
    <row r="236" ht="15.75" customHeight="1">
      <c r="B236" s="7" t="s">
        <v>312</v>
      </c>
      <c r="C236" s="7" t="s">
        <v>313</v>
      </c>
      <c r="D236" s="7">
        <v>40.0</v>
      </c>
      <c r="E236" s="7">
        <v>40.0</v>
      </c>
      <c r="F236" s="7">
        <v>0.0</v>
      </c>
      <c r="G236" s="7">
        <v>0.0</v>
      </c>
      <c r="H236" s="7">
        <v>0.0</v>
      </c>
      <c r="I236" s="7">
        <v>40.0</v>
      </c>
    </row>
    <row r="237" ht="15.75" customHeight="1">
      <c r="B237" s="35" t="s">
        <v>314</v>
      </c>
      <c r="C237" s="7" t="s">
        <v>315</v>
      </c>
      <c r="D237" s="7">
        <v>300.0</v>
      </c>
      <c r="E237" s="7">
        <v>0.0</v>
      </c>
      <c r="F237" s="7">
        <v>300.0</v>
      </c>
      <c r="G237" s="7">
        <v>0.0</v>
      </c>
      <c r="H237" s="7">
        <v>0.0</v>
      </c>
      <c r="I237" s="7">
        <v>300.0</v>
      </c>
    </row>
    <row r="238" ht="15.75" customHeight="1">
      <c r="B238" s="7" t="s">
        <v>140</v>
      </c>
      <c r="C238" s="7" t="s">
        <v>316</v>
      </c>
      <c r="D238" s="7">
        <v>300.0</v>
      </c>
      <c r="E238" s="7">
        <v>300.0</v>
      </c>
      <c r="F238" s="7">
        <v>0.0</v>
      </c>
      <c r="G238" s="7">
        <v>0.0</v>
      </c>
      <c r="H238" s="7">
        <v>0.0</v>
      </c>
      <c r="I238" s="7">
        <v>300.0</v>
      </c>
    </row>
    <row r="239" ht="15.75" customHeight="1">
      <c r="B239" s="7" t="s">
        <v>40</v>
      </c>
      <c r="C239" s="7" t="s">
        <v>317</v>
      </c>
      <c r="D239" s="7">
        <v>300.0</v>
      </c>
      <c r="E239" s="7">
        <v>150.0</v>
      </c>
      <c r="F239" s="7">
        <v>150.0</v>
      </c>
      <c r="G239" s="7">
        <v>0.0</v>
      </c>
      <c r="H239" s="7">
        <v>0.0</v>
      </c>
      <c r="I239" s="7">
        <v>300.0</v>
      </c>
    </row>
    <row r="240" ht="15.75" customHeight="1">
      <c r="B240" s="7" t="s">
        <v>56</v>
      </c>
      <c r="C240" s="7" t="s">
        <v>318</v>
      </c>
      <c r="D240" s="7">
        <v>400.0</v>
      </c>
      <c r="E240" s="7">
        <v>400.0</v>
      </c>
      <c r="F240" s="7">
        <v>0.0</v>
      </c>
      <c r="G240" s="7">
        <v>0.0</v>
      </c>
      <c r="H240" s="7">
        <v>400.0</v>
      </c>
      <c r="I240" s="7">
        <v>0.0</v>
      </c>
    </row>
    <row r="241" ht="15.75" customHeight="1">
      <c r="B241" s="7" t="s">
        <v>200</v>
      </c>
      <c r="C241" s="7" t="s">
        <v>319</v>
      </c>
      <c r="D241" s="7">
        <v>1200.0</v>
      </c>
      <c r="E241" s="7">
        <v>1200.0</v>
      </c>
      <c r="F241" s="7">
        <v>0.0</v>
      </c>
      <c r="G241" s="7">
        <v>0.0</v>
      </c>
      <c r="H241" s="7">
        <v>0.0</v>
      </c>
      <c r="I241" s="7">
        <v>0.0</v>
      </c>
    </row>
    <row r="242" ht="15.75" customHeight="1">
      <c r="B242" s="7" t="s">
        <v>320</v>
      </c>
      <c r="C242" s="7" t="s">
        <v>321</v>
      </c>
      <c r="D242" s="7">
        <v>750.0</v>
      </c>
      <c r="E242" s="7">
        <v>0.0</v>
      </c>
      <c r="F242" s="7">
        <v>0.0</v>
      </c>
      <c r="G242" s="7">
        <v>750.0</v>
      </c>
      <c r="H242" s="7">
        <v>0.0</v>
      </c>
      <c r="I242" s="7">
        <v>750.0</v>
      </c>
    </row>
    <row r="243" ht="15.75" customHeight="1">
      <c r="B243" s="7" t="s">
        <v>322</v>
      </c>
      <c r="C243" s="7" t="s">
        <v>323</v>
      </c>
      <c r="D243" s="7">
        <v>1000.0</v>
      </c>
      <c r="E243" s="7">
        <v>0.0</v>
      </c>
      <c r="F243" s="7">
        <v>0.0</v>
      </c>
      <c r="G243" s="7">
        <v>1000.0</v>
      </c>
      <c r="H243" s="7">
        <v>0.0</v>
      </c>
      <c r="I243" s="7">
        <v>1000.0</v>
      </c>
    </row>
    <row r="244" ht="15.75" customHeight="1">
      <c r="A244" s="20" t="s">
        <v>25</v>
      </c>
      <c r="B244" s="20"/>
      <c r="C244" s="20"/>
      <c r="D244" s="36">
        <f t="shared" ref="D244:I244" si="40">SUM(D234:D243)</f>
        <v>4600</v>
      </c>
      <c r="E244" s="20">
        <f t="shared" si="40"/>
        <v>2090</v>
      </c>
      <c r="F244" s="20">
        <f t="shared" si="40"/>
        <v>700</v>
      </c>
      <c r="G244" s="20">
        <f t="shared" si="40"/>
        <v>1810</v>
      </c>
      <c r="H244" s="20">
        <f t="shared" si="40"/>
        <v>460</v>
      </c>
      <c r="I244" s="20">
        <f t="shared" si="40"/>
        <v>3000</v>
      </c>
      <c r="J244" s="20"/>
    </row>
    <row r="245" ht="15.75" customHeight="1">
      <c r="A245" s="25">
        <v>45398.0</v>
      </c>
      <c r="B245" s="7" t="s">
        <v>16</v>
      </c>
      <c r="C245" s="7" t="s">
        <v>324</v>
      </c>
      <c r="D245" s="7">
        <v>300.0</v>
      </c>
      <c r="E245" s="7">
        <v>0.0</v>
      </c>
      <c r="F245" s="7">
        <v>300.0</v>
      </c>
      <c r="G245" s="7">
        <v>0.0</v>
      </c>
      <c r="H245" s="7">
        <v>0.0</v>
      </c>
      <c r="I245" s="7">
        <v>300.0</v>
      </c>
    </row>
    <row r="246" ht="15.75" customHeight="1">
      <c r="B246" s="7" t="s">
        <v>325</v>
      </c>
      <c r="C246" s="7" t="s">
        <v>326</v>
      </c>
      <c r="D246" s="7">
        <v>500.0</v>
      </c>
      <c r="E246" s="7">
        <v>500.0</v>
      </c>
      <c r="F246" s="7">
        <v>0.0</v>
      </c>
      <c r="G246" s="7">
        <v>0.0</v>
      </c>
      <c r="H246" s="7">
        <v>0.0</v>
      </c>
      <c r="I246" s="7">
        <v>500.0</v>
      </c>
    </row>
    <row r="247" ht="15.75" customHeight="1">
      <c r="B247" s="7" t="s">
        <v>270</v>
      </c>
      <c r="C247" s="7" t="s">
        <v>327</v>
      </c>
      <c r="D247" s="7">
        <v>250.0</v>
      </c>
      <c r="E247" s="7">
        <v>0.0</v>
      </c>
      <c r="F247" s="7">
        <v>250.0</v>
      </c>
      <c r="G247" s="7">
        <v>0.0</v>
      </c>
      <c r="H247" s="7">
        <v>0.0</v>
      </c>
      <c r="I247" s="7">
        <v>250.0</v>
      </c>
    </row>
    <row r="248" ht="15.75" customHeight="1">
      <c r="B248" s="7" t="s">
        <v>231</v>
      </c>
      <c r="C248" s="7" t="s">
        <v>328</v>
      </c>
      <c r="D248" s="7">
        <v>600.0</v>
      </c>
      <c r="E248" s="7">
        <v>600.0</v>
      </c>
      <c r="F248" s="7">
        <v>0.0</v>
      </c>
      <c r="G248" s="7">
        <v>0.0</v>
      </c>
      <c r="H248" s="7">
        <v>0.0</v>
      </c>
      <c r="I248" s="7">
        <v>600.0</v>
      </c>
    </row>
    <row r="249" ht="15.75" customHeight="1">
      <c r="B249" s="7" t="s">
        <v>329</v>
      </c>
      <c r="C249" s="7" t="s">
        <v>330</v>
      </c>
      <c r="D249" s="7">
        <v>250.0</v>
      </c>
      <c r="E249" s="7">
        <v>250.0</v>
      </c>
      <c r="F249" s="7">
        <v>0.0</v>
      </c>
      <c r="G249" s="7">
        <v>0.0</v>
      </c>
      <c r="H249" s="7">
        <v>0.0</v>
      </c>
      <c r="I249" s="7">
        <v>250.0</v>
      </c>
    </row>
    <row r="250" ht="15.75" customHeight="1">
      <c r="B250" s="7" t="s">
        <v>331</v>
      </c>
      <c r="C250" s="7" t="s">
        <v>332</v>
      </c>
      <c r="D250" s="7">
        <v>100.0</v>
      </c>
      <c r="E250" s="7">
        <v>100.0</v>
      </c>
      <c r="F250" s="7">
        <v>0.0</v>
      </c>
      <c r="G250" s="7">
        <v>0.0</v>
      </c>
      <c r="H250" s="7">
        <v>100.0</v>
      </c>
      <c r="I250" s="7">
        <v>0.0</v>
      </c>
    </row>
    <row r="251" ht="15.75" customHeight="1">
      <c r="B251" s="7" t="s">
        <v>333</v>
      </c>
      <c r="C251" s="7" t="s">
        <v>334</v>
      </c>
      <c r="D251" s="7">
        <v>1300.0</v>
      </c>
      <c r="E251" s="7">
        <v>1300.0</v>
      </c>
      <c r="F251" s="7">
        <v>0.0</v>
      </c>
      <c r="G251" s="7">
        <v>0.0</v>
      </c>
      <c r="H251" s="7">
        <v>0.0</v>
      </c>
      <c r="I251" s="7">
        <v>1300.0</v>
      </c>
    </row>
    <row r="252" ht="15.75" customHeight="1"/>
    <row r="253" ht="15.75" customHeight="1">
      <c r="A253" s="8"/>
      <c r="D253" s="29">
        <f t="shared" ref="D253:I253" si="41">SUM(D245:D251)</f>
        <v>3300</v>
      </c>
      <c r="E253" s="7">
        <f t="shared" si="41"/>
        <v>2750</v>
      </c>
      <c r="F253" s="7">
        <f t="shared" si="41"/>
        <v>550</v>
      </c>
      <c r="G253" s="7">
        <f t="shared" si="41"/>
        <v>0</v>
      </c>
      <c r="H253" s="7">
        <f t="shared" si="41"/>
        <v>100</v>
      </c>
      <c r="I253" s="7">
        <f t="shared" si="41"/>
        <v>3200</v>
      </c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</row>
    <row r="255" ht="15.75" customHeight="1">
      <c r="A255" s="25">
        <v>45399.0</v>
      </c>
      <c r="B255" s="7" t="s">
        <v>335</v>
      </c>
      <c r="C255" s="7" t="s">
        <v>336</v>
      </c>
      <c r="D255" s="7">
        <v>750.0</v>
      </c>
      <c r="E255" s="7">
        <v>0.0</v>
      </c>
      <c r="F255" s="7">
        <v>750.0</v>
      </c>
      <c r="G255" s="7">
        <v>0.0</v>
      </c>
      <c r="H255" s="7">
        <v>0.0</v>
      </c>
      <c r="I255" s="7">
        <v>750.0</v>
      </c>
    </row>
    <row r="256" ht="15.75" customHeight="1">
      <c r="B256" s="7" t="s">
        <v>337</v>
      </c>
      <c r="C256" s="7" t="s">
        <v>338</v>
      </c>
      <c r="D256" s="7">
        <v>350.0</v>
      </c>
      <c r="E256" s="7">
        <v>0.0</v>
      </c>
      <c r="F256" s="7">
        <v>350.0</v>
      </c>
      <c r="G256" s="7">
        <v>0.0</v>
      </c>
      <c r="H256" s="7">
        <v>0.0</v>
      </c>
      <c r="I256" s="7">
        <v>350.0</v>
      </c>
    </row>
    <row r="257" ht="15.75" customHeight="1">
      <c r="B257" s="7" t="s">
        <v>61</v>
      </c>
      <c r="C257" s="7" t="s">
        <v>339</v>
      </c>
      <c r="D257" s="7">
        <v>250.0</v>
      </c>
      <c r="E257" s="7">
        <v>50.0</v>
      </c>
      <c r="F257" s="7">
        <v>200.0</v>
      </c>
      <c r="G257" s="7">
        <v>0.0</v>
      </c>
      <c r="H257" s="7">
        <v>0.0</v>
      </c>
      <c r="I257" s="7">
        <v>250.0</v>
      </c>
    </row>
    <row r="258" ht="15.75" customHeight="1">
      <c r="B258" s="7" t="s">
        <v>340</v>
      </c>
      <c r="C258" s="7" t="s">
        <v>339</v>
      </c>
      <c r="D258" s="7">
        <v>300.0</v>
      </c>
      <c r="E258" s="7">
        <v>300.0</v>
      </c>
      <c r="F258" s="7">
        <v>0.0</v>
      </c>
      <c r="G258" s="7">
        <v>0.0</v>
      </c>
      <c r="H258" s="7">
        <v>0.0</v>
      </c>
      <c r="I258" s="7">
        <v>300.0</v>
      </c>
    </row>
    <row r="259" ht="15.75" customHeight="1">
      <c r="B259" s="7" t="s">
        <v>341</v>
      </c>
      <c r="C259" s="7" t="s">
        <v>342</v>
      </c>
      <c r="D259" s="7">
        <v>1050.0</v>
      </c>
      <c r="E259" s="7">
        <v>0.0</v>
      </c>
      <c r="F259" s="7">
        <v>0.0</v>
      </c>
      <c r="G259" s="7">
        <v>1050.0</v>
      </c>
      <c r="H259" s="7">
        <v>0.0</v>
      </c>
      <c r="I259" s="7">
        <v>350.0</v>
      </c>
    </row>
    <row r="260" ht="15.75" customHeight="1">
      <c r="A260" s="7" t="s">
        <v>25</v>
      </c>
      <c r="D260" s="29">
        <f t="shared" ref="D260:I260" si="42">SUM(D255:D259)</f>
        <v>2700</v>
      </c>
      <c r="E260" s="7">
        <f t="shared" si="42"/>
        <v>350</v>
      </c>
      <c r="F260" s="7">
        <f t="shared" si="42"/>
        <v>1300</v>
      </c>
      <c r="G260" s="7">
        <f t="shared" si="42"/>
        <v>1050</v>
      </c>
      <c r="H260" s="7">
        <f t="shared" si="42"/>
        <v>0</v>
      </c>
      <c r="I260" s="7">
        <f t="shared" si="42"/>
        <v>2000</v>
      </c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</row>
    <row r="262" ht="15.75" customHeight="1">
      <c r="A262" s="25">
        <v>45400.0</v>
      </c>
      <c r="B262" s="7" t="s">
        <v>295</v>
      </c>
      <c r="C262" s="7" t="s">
        <v>343</v>
      </c>
      <c r="D262" s="7">
        <v>300.0</v>
      </c>
      <c r="E262" s="7">
        <v>0.0</v>
      </c>
      <c r="F262" s="7">
        <v>300.0</v>
      </c>
      <c r="G262" s="7">
        <v>0.0</v>
      </c>
      <c r="H262" s="7">
        <v>0.0</v>
      </c>
      <c r="I262" s="7">
        <v>300.0</v>
      </c>
    </row>
    <row r="263" ht="15.75" customHeight="1">
      <c r="B263" s="7" t="s">
        <v>205</v>
      </c>
      <c r="C263" s="7" t="s">
        <v>344</v>
      </c>
      <c r="D263" s="7">
        <v>400.0</v>
      </c>
      <c r="E263" s="7">
        <v>0.0</v>
      </c>
      <c r="F263" s="7">
        <v>400.0</v>
      </c>
      <c r="G263" s="7">
        <v>0.0</v>
      </c>
      <c r="H263" s="7">
        <v>0.0</v>
      </c>
      <c r="I263" s="7">
        <v>400.0</v>
      </c>
    </row>
    <row r="264" ht="15.75" customHeight="1">
      <c r="B264" s="7" t="s">
        <v>345</v>
      </c>
      <c r="C264" s="7" t="s">
        <v>346</v>
      </c>
      <c r="D264" s="7">
        <v>400.0</v>
      </c>
      <c r="E264" s="7">
        <v>0.0</v>
      </c>
      <c r="F264" s="7">
        <v>400.0</v>
      </c>
      <c r="G264" s="7">
        <v>0.0</v>
      </c>
      <c r="H264" s="7">
        <v>0.0</v>
      </c>
      <c r="I264" s="7">
        <v>400.0</v>
      </c>
    </row>
    <row r="265" ht="15.75" customHeight="1">
      <c r="B265" s="7" t="s">
        <v>347</v>
      </c>
      <c r="C265" s="7" t="s">
        <v>348</v>
      </c>
      <c r="D265" s="7">
        <v>350.0</v>
      </c>
      <c r="E265" s="7">
        <v>0.0</v>
      </c>
      <c r="F265" s="7">
        <v>350.0</v>
      </c>
      <c r="G265" s="7">
        <v>0.0</v>
      </c>
      <c r="H265" s="7">
        <v>0.0</v>
      </c>
      <c r="I265" s="7">
        <v>0.0</v>
      </c>
    </row>
    <row r="266" ht="15.75" customHeight="1">
      <c r="B266" s="7" t="s">
        <v>349</v>
      </c>
      <c r="C266" s="7" t="s">
        <v>350</v>
      </c>
      <c r="D266" s="7">
        <v>350.0</v>
      </c>
      <c r="E266" s="7">
        <v>200.0</v>
      </c>
      <c r="F266" s="7">
        <v>150.0</v>
      </c>
      <c r="G266" s="7">
        <v>0.0</v>
      </c>
      <c r="H266" s="7">
        <v>0.0</v>
      </c>
      <c r="I266" s="7">
        <v>0.0</v>
      </c>
    </row>
    <row r="267" ht="15.75" customHeight="1">
      <c r="B267" s="7" t="s">
        <v>188</v>
      </c>
      <c r="C267" s="7" t="s">
        <v>351</v>
      </c>
      <c r="D267" s="7">
        <v>500.0</v>
      </c>
      <c r="E267" s="7">
        <v>500.0</v>
      </c>
      <c r="F267" s="7">
        <v>0.0</v>
      </c>
      <c r="G267" s="7">
        <v>0.0</v>
      </c>
      <c r="H267" s="7">
        <v>0.0</v>
      </c>
      <c r="I267" s="7">
        <v>500.0</v>
      </c>
    </row>
    <row r="268" ht="15.75" customHeight="1">
      <c r="B268" s="7" t="s">
        <v>352</v>
      </c>
      <c r="C268" s="7" t="s">
        <v>353</v>
      </c>
      <c r="D268" s="7">
        <v>625.0</v>
      </c>
      <c r="E268" s="7">
        <v>0.0</v>
      </c>
      <c r="F268" s="7">
        <v>625.0</v>
      </c>
      <c r="G268" s="7">
        <v>0.0</v>
      </c>
      <c r="H268" s="7">
        <v>0.0</v>
      </c>
      <c r="I268" s="7">
        <v>625.0</v>
      </c>
    </row>
    <row r="269" ht="15.75" customHeight="1">
      <c r="B269" s="7" t="s">
        <v>354</v>
      </c>
      <c r="C269" s="7" t="s">
        <v>355</v>
      </c>
      <c r="D269" s="7">
        <v>1250.0</v>
      </c>
      <c r="E269" s="7">
        <v>1250.0</v>
      </c>
      <c r="F269" s="7">
        <v>0.0</v>
      </c>
      <c r="G269" s="7">
        <v>0.0</v>
      </c>
      <c r="H269" s="7">
        <v>0.0</v>
      </c>
      <c r="I269" s="7">
        <v>1250.0</v>
      </c>
    </row>
    <row r="270" ht="15.75" customHeight="1">
      <c r="A270" s="7" t="s">
        <v>25</v>
      </c>
      <c r="D270" s="7">
        <f t="shared" ref="D270:F270" si="43">SUM(D262:D269)</f>
        <v>4175</v>
      </c>
      <c r="E270" s="7">
        <f t="shared" si="43"/>
        <v>1950</v>
      </c>
      <c r="F270" s="7">
        <f t="shared" si="43"/>
        <v>2225</v>
      </c>
      <c r="G270" s="7">
        <v>0.0</v>
      </c>
      <c r="H270" s="7">
        <v>0.0</v>
      </c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</row>
    <row r="272" ht="15.75" customHeight="1">
      <c r="A272" s="8">
        <v>45401.0</v>
      </c>
      <c r="B272" s="7" t="s">
        <v>356</v>
      </c>
      <c r="C272" s="7" t="s">
        <v>357</v>
      </c>
      <c r="D272" s="7">
        <v>300.0</v>
      </c>
      <c r="E272" s="7">
        <v>0.0</v>
      </c>
      <c r="F272" s="7">
        <v>300.0</v>
      </c>
      <c r="G272" s="7">
        <v>0.0</v>
      </c>
      <c r="H272" s="7">
        <v>0.0</v>
      </c>
      <c r="I272" s="7">
        <v>300.0</v>
      </c>
    </row>
    <row r="273" ht="15.75" customHeight="1">
      <c r="B273" s="7" t="s">
        <v>358</v>
      </c>
      <c r="C273" s="7" t="s">
        <v>359</v>
      </c>
      <c r="D273" s="7" t="s">
        <v>360</v>
      </c>
      <c r="E273" s="7">
        <v>0.0</v>
      </c>
      <c r="F273" s="7">
        <v>500.0</v>
      </c>
      <c r="G273" s="7">
        <v>0.0</v>
      </c>
      <c r="H273" s="7">
        <v>0.0</v>
      </c>
      <c r="I273" s="7">
        <v>500.0</v>
      </c>
    </row>
    <row r="274" ht="15.75" customHeight="1">
      <c r="B274" s="7" t="s">
        <v>361</v>
      </c>
      <c r="C274" s="7" t="s">
        <v>362</v>
      </c>
      <c r="D274" s="7">
        <v>380.0</v>
      </c>
      <c r="E274" s="7">
        <v>200.0</v>
      </c>
      <c r="F274" s="7">
        <v>180.0</v>
      </c>
      <c r="G274" s="7">
        <v>0.0</v>
      </c>
      <c r="H274" s="7">
        <v>0.0</v>
      </c>
      <c r="I274" s="7">
        <v>380.0</v>
      </c>
    </row>
    <row r="275" ht="15.75" customHeight="1">
      <c r="B275" s="7" t="s">
        <v>124</v>
      </c>
      <c r="C275" s="7" t="s">
        <v>363</v>
      </c>
      <c r="D275" s="7">
        <v>300.0</v>
      </c>
      <c r="E275" s="7">
        <v>0.0</v>
      </c>
      <c r="F275" s="7">
        <v>300.0</v>
      </c>
      <c r="G275" s="7">
        <v>0.0</v>
      </c>
      <c r="H275" s="7">
        <v>0.0</v>
      </c>
      <c r="I275" s="7">
        <v>300.0</v>
      </c>
    </row>
    <row r="276" ht="15.75" customHeight="1">
      <c r="A276" s="37"/>
      <c r="B276" s="37"/>
      <c r="C276" s="37"/>
      <c r="D276" s="37">
        <v>480.0</v>
      </c>
      <c r="E276" s="37">
        <f t="shared" ref="E276:F276" si="44">SUM(E272:E275)</f>
        <v>200</v>
      </c>
      <c r="F276" s="37">
        <f t="shared" si="44"/>
        <v>1280</v>
      </c>
      <c r="G276" s="37"/>
      <c r="H276" s="37"/>
      <c r="I276" s="37"/>
      <c r="J276" s="37"/>
    </row>
    <row r="277" ht="15.75" customHeight="1">
      <c r="A277" s="7" t="s">
        <v>364</v>
      </c>
      <c r="B277" s="7" t="s">
        <v>266</v>
      </c>
      <c r="C277" s="7" t="s">
        <v>365</v>
      </c>
      <c r="D277" s="7">
        <v>1250.0</v>
      </c>
      <c r="E277" s="7">
        <v>0.0</v>
      </c>
      <c r="F277" s="7">
        <v>1250.0</v>
      </c>
      <c r="G277" s="7">
        <v>0.0</v>
      </c>
      <c r="H277" s="7">
        <v>0.0</v>
      </c>
      <c r="I277" s="7">
        <v>1250.0</v>
      </c>
    </row>
    <row r="278" ht="15.75" customHeight="1">
      <c r="B278" s="7" t="s">
        <v>366</v>
      </c>
      <c r="C278" s="7" t="s">
        <v>365</v>
      </c>
      <c r="D278" s="7">
        <v>1250.0</v>
      </c>
      <c r="E278" s="7">
        <v>0.0</v>
      </c>
      <c r="F278" s="7">
        <v>1250.0</v>
      </c>
      <c r="G278" s="7">
        <v>0.0</v>
      </c>
      <c r="H278" s="7">
        <v>0.0</v>
      </c>
      <c r="I278" s="7">
        <v>1250.0</v>
      </c>
    </row>
    <row r="279" ht="15.75" customHeight="1">
      <c r="A279" s="38" t="s">
        <v>65</v>
      </c>
      <c r="B279" s="39"/>
      <c r="C279" s="39"/>
      <c r="D279" s="39">
        <f t="shared" ref="D279:F279" si="45">SUM(D277:D278)</f>
        <v>2500</v>
      </c>
      <c r="E279" s="39">
        <f t="shared" si="45"/>
        <v>0</v>
      </c>
      <c r="F279" s="39">
        <f t="shared" si="45"/>
        <v>2500</v>
      </c>
      <c r="G279" s="39">
        <v>0.0</v>
      </c>
      <c r="H279" s="39">
        <v>0.0</v>
      </c>
      <c r="I279" s="39">
        <v>2500.0</v>
      </c>
      <c r="J279" s="39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</row>
    <row r="281" ht="15.75" customHeight="1">
      <c r="A281" s="8">
        <v>45405.0</v>
      </c>
      <c r="B281" s="7" t="s">
        <v>367</v>
      </c>
      <c r="C281" s="7" t="s">
        <v>368</v>
      </c>
      <c r="D281" s="7">
        <v>550.0</v>
      </c>
      <c r="E281" s="7">
        <v>200.0</v>
      </c>
      <c r="F281" s="7">
        <v>350.0</v>
      </c>
      <c r="G281" s="7">
        <v>0.0</v>
      </c>
      <c r="H281" s="7">
        <v>0.0</v>
      </c>
      <c r="I281" s="7">
        <v>550.0</v>
      </c>
    </row>
    <row r="282" ht="15.75" customHeight="1">
      <c r="B282" s="7" t="s">
        <v>369</v>
      </c>
      <c r="C282" s="7" t="s">
        <v>370</v>
      </c>
      <c r="D282" s="7">
        <v>500.0</v>
      </c>
      <c r="E282" s="7">
        <v>500.0</v>
      </c>
      <c r="F282" s="7">
        <v>0.0</v>
      </c>
      <c r="G282" s="7">
        <v>0.0</v>
      </c>
      <c r="H282" s="7">
        <v>0.0</v>
      </c>
      <c r="I282" s="7">
        <v>500.0</v>
      </c>
    </row>
    <row r="283" ht="15.75" customHeight="1">
      <c r="B283" s="7" t="s">
        <v>371</v>
      </c>
      <c r="C283" s="7" t="s">
        <v>372</v>
      </c>
      <c r="D283" s="7">
        <v>0.0</v>
      </c>
      <c r="E283" s="7">
        <v>0.0</v>
      </c>
      <c r="F283" s="7">
        <v>0.0</v>
      </c>
      <c r="G283" s="7">
        <v>0.0</v>
      </c>
      <c r="H283" s="7">
        <v>0.0</v>
      </c>
      <c r="I283" s="7">
        <v>0.0</v>
      </c>
    </row>
    <row r="284" ht="15.75" customHeight="1">
      <c r="D284" s="7">
        <f t="shared" ref="D284:F284" si="46">SUM(D281:D283)</f>
        <v>1050</v>
      </c>
      <c r="E284" s="7">
        <f t="shared" si="46"/>
        <v>700</v>
      </c>
      <c r="F284" s="7">
        <f t="shared" si="46"/>
        <v>350</v>
      </c>
      <c r="I284" s="7">
        <f>SUM(I281:I283)</f>
        <v>1050</v>
      </c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</row>
    <row r="286" ht="15.75" customHeight="1">
      <c r="A286" s="8">
        <v>45406.0</v>
      </c>
      <c r="B286" s="7" t="s">
        <v>373</v>
      </c>
      <c r="C286" s="7" t="s">
        <v>374</v>
      </c>
      <c r="D286" s="7">
        <v>500.0</v>
      </c>
      <c r="E286" s="7">
        <v>500.0</v>
      </c>
      <c r="F286" s="7">
        <v>0.0</v>
      </c>
      <c r="G286" s="7">
        <v>0.0</v>
      </c>
      <c r="H286" s="7">
        <v>0.0</v>
      </c>
      <c r="I286" s="7">
        <v>500.0</v>
      </c>
    </row>
    <row r="287" ht="15.75" customHeight="1">
      <c r="B287" s="7" t="s">
        <v>375</v>
      </c>
      <c r="C287" s="7" t="s">
        <v>248</v>
      </c>
      <c r="D287" s="7">
        <v>300.0</v>
      </c>
      <c r="E287" s="7">
        <v>300.0</v>
      </c>
      <c r="F287" s="7">
        <v>0.0</v>
      </c>
      <c r="G287" s="7">
        <v>0.0</v>
      </c>
      <c r="H287" s="7">
        <v>0.0</v>
      </c>
      <c r="I287" s="7">
        <v>300.0</v>
      </c>
    </row>
    <row r="288" ht="15.75" customHeight="1">
      <c r="B288" s="7" t="s">
        <v>117</v>
      </c>
      <c r="C288" s="7" t="s">
        <v>376</v>
      </c>
      <c r="D288" s="7">
        <v>575.0</v>
      </c>
      <c r="E288" s="7">
        <v>575.0</v>
      </c>
      <c r="F288" s="7">
        <v>0.0</v>
      </c>
      <c r="G288" s="7">
        <v>0.0</v>
      </c>
      <c r="H288" s="7">
        <v>0.0</v>
      </c>
      <c r="I288" s="7">
        <v>0.0</v>
      </c>
    </row>
    <row r="289" ht="15.75" customHeight="1">
      <c r="B289" s="7" t="s">
        <v>127</v>
      </c>
      <c r="C289" s="7" t="s">
        <v>377</v>
      </c>
      <c r="D289" s="7">
        <v>600.0</v>
      </c>
      <c r="E289" s="7">
        <v>600.0</v>
      </c>
      <c r="F289" s="7">
        <v>0.0</v>
      </c>
      <c r="G289" s="7">
        <v>0.0</v>
      </c>
      <c r="H289" s="7">
        <v>0.0</v>
      </c>
      <c r="I289" s="7">
        <v>600.0</v>
      </c>
    </row>
    <row r="290" ht="15.75" customHeight="1">
      <c r="B290" s="7" t="s">
        <v>229</v>
      </c>
      <c r="C290" s="7" t="s">
        <v>281</v>
      </c>
      <c r="D290" s="7">
        <v>300.0</v>
      </c>
      <c r="E290" s="7">
        <v>0.0</v>
      </c>
      <c r="F290" s="7">
        <v>0.0</v>
      </c>
      <c r="G290" s="7">
        <v>300.0</v>
      </c>
      <c r="H290" s="7">
        <v>0.0</v>
      </c>
      <c r="I290" s="7">
        <v>300.0</v>
      </c>
    </row>
    <row r="291" ht="15.75" customHeight="1">
      <c r="B291" s="7" t="s">
        <v>378</v>
      </c>
      <c r="C291" s="7" t="s">
        <v>379</v>
      </c>
      <c r="D291" s="7">
        <v>35.0</v>
      </c>
      <c r="E291" s="7">
        <v>0.0</v>
      </c>
      <c r="F291" s="7">
        <v>35.0</v>
      </c>
      <c r="G291" s="7">
        <v>0.0</v>
      </c>
      <c r="H291" s="7">
        <v>0.0</v>
      </c>
      <c r="I291" s="7">
        <v>35.0</v>
      </c>
    </row>
    <row r="292" ht="15.75" customHeight="1">
      <c r="A292" s="38" t="s">
        <v>119</v>
      </c>
      <c r="B292" s="39"/>
      <c r="C292" s="39"/>
      <c r="D292" s="39">
        <f t="shared" ref="D292:E292" si="47">SUM(D286:D291)</f>
        <v>2310</v>
      </c>
      <c r="E292" s="39">
        <f t="shared" si="47"/>
        <v>1975</v>
      </c>
      <c r="F292" s="39"/>
      <c r="G292" s="39"/>
      <c r="H292" s="39"/>
      <c r="I292" s="39">
        <f>SUM(I286:I291)</f>
        <v>1735</v>
      </c>
      <c r="J292" s="39"/>
    </row>
    <row r="293" ht="15.75" customHeight="1">
      <c r="A293" s="25">
        <v>45407.0</v>
      </c>
      <c r="B293" s="7" t="s">
        <v>380</v>
      </c>
      <c r="C293" s="7" t="s">
        <v>327</v>
      </c>
      <c r="D293" s="7">
        <v>300.0</v>
      </c>
      <c r="E293" s="7">
        <v>300.0</v>
      </c>
      <c r="F293" s="7">
        <v>0.0</v>
      </c>
      <c r="G293" s="7">
        <v>0.0</v>
      </c>
      <c r="H293" s="7">
        <v>0.0</v>
      </c>
      <c r="I293" s="7">
        <v>300.0</v>
      </c>
    </row>
    <row r="294" ht="15.75" customHeight="1">
      <c r="B294" s="7" t="s">
        <v>381</v>
      </c>
      <c r="C294" s="7" t="s">
        <v>382</v>
      </c>
      <c r="D294" s="7">
        <v>120.0</v>
      </c>
      <c r="E294" s="7">
        <v>0.0</v>
      </c>
      <c r="F294" s="7">
        <v>120.0</v>
      </c>
      <c r="G294" s="7">
        <v>0.0</v>
      </c>
      <c r="H294" s="7">
        <v>0.0</v>
      </c>
      <c r="I294" s="7">
        <v>120.0</v>
      </c>
    </row>
    <row r="295" ht="15.75" customHeight="1">
      <c r="B295" s="7" t="s">
        <v>383</v>
      </c>
      <c r="C295" s="7" t="s">
        <v>384</v>
      </c>
      <c r="D295" s="7">
        <v>150.0</v>
      </c>
      <c r="E295" s="7">
        <v>0.0</v>
      </c>
      <c r="F295" s="7">
        <v>150.0</v>
      </c>
      <c r="G295" s="7">
        <v>0.0</v>
      </c>
      <c r="H295" s="7">
        <v>0.0</v>
      </c>
      <c r="I295" s="7">
        <v>150.0</v>
      </c>
    </row>
    <row r="296" ht="15.75" customHeight="1">
      <c r="B296" s="7" t="s">
        <v>385</v>
      </c>
      <c r="C296" s="7" t="s">
        <v>386</v>
      </c>
      <c r="D296" s="7">
        <v>300.0</v>
      </c>
      <c r="E296" s="7">
        <v>300.0</v>
      </c>
      <c r="F296" s="7">
        <v>0.0</v>
      </c>
      <c r="G296" s="7">
        <v>0.0</v>
      </c>
      <c r="H296" s="7">
        <v>0.0</v>
      </c>
      <c r="I296" s="7">
        <v>300.0</v>
      </c>
    </row>
    <row r="297" ht="15.75" customHeight="1">
      <c r="B297" s="7" t="s">
        <v>387</v>
      </c>
      <c r="C297" s="7" t="s">
        <v>388</v>
      </c>
      <c r="D297" s="7">
        <v>100.0</v>
      </c>
      <c r="E297" s="7">
        <v>100.0</v>
      </c>
      <c r="F297" s="7">
        <v>0.0</v>
      </c>
      <c r="G297" s="7">
        <v>0.0</v>
      </c>
      <c r="H297" s="7">
        <v>0.0</v>
      </c>
      <c r="I297" s="7">
        <v>100.0</v>
      </c>
    </row>
    <row r="298" ht="15.75" customHeight="1">
      <c r="B298" s="7" t="s">
        <v>389</v>
      </c>
      <c r="D298" s="7">
        <v>100.0</v>
      </c>
      <c r="E298" s="7">
        <v>100.0</v>
      </c>
      <c r="F298" s="7">
        <v>0.0</v>
      </c>
      <c r="G298" s="7">
        <v>0.0</v>
      </c>
      <c r="H298" s="7">
        <v>0.0</v>
      </c>
      <c r="I298" s="7">
        <v>100.0</v>
      </c>
    </row>
    <row r="299" ht="15.75" customHeight="1">
      <c r="A299" s="29" t="s">
        <v>119</v>
      </c>
      <c r="B299" s="29"/>
      <c r="C299" s="29"/>
      <c r="D299" s="29">
        <f t="shared" ref="D299:I299" si="48">SUM(D293:D298)</f>
        <v>1070</v>
      </c>
      <c r="E299" s="29">
        <f t="shared" si="48"/>
        <v>800</v>
      </c>
      <c r="F299" s="29">
        <f t="shared" si="48"/>
        <v>270</v>
      </c>
      <c r="G299" s="29">
        <f t="shared" si="48"/>
        <v>0</v>
      </c>
      <c r="H299" s="29">
        <f t="shared" si="48"/>
        <v>0</v>
      </c>
      <c r="I299" s="29">
        <f t="shared" si="48"/>
        <v>1070</v>
      </c>
    </row>
    <row r="300" ht="15.75" customHeight="1">
      <c r="A300" s="20"/>
      <c r="B300" s="20"/>
      <c r="C300" s="20"/>
      <c r="D300" s="20" t="s">
        <v>25</v>
      </c>
      <c r="E300" s="20" t="s">
        <v>390</v>
      </c>
      <c r="F300" s="20" t="s">
        <v>391</v>
      </c>
      <c r="G300" s="20" t="s">
        <v>392</v>
      </c>
      <c r="H300" s="20" t="s">
        <v>393</v>
      </c>
      <c r="I300" s="20" t="s">
        <v>394</v>
      </c>
      <c r="J300" s="20"/>
    </row>
    <row r="301" ht="20.25" customHeight="1">
      <c r="A301" s="40">
        <v>45408.0</v>
      </c>
      <c r="B301" s="7" t="s">
        <v>395</v>
      </c>
      <c r="C301" s="21" t="s">
        <v>396</v>
      </c>
      <c r="D301" s="7">
        <v>1085.0</v>
      </c>
      <c r="E301" s="7">
        <v>0.0</v>
      </c>
      <c r="F301" s="7">
        <v>1085.0</v>
      </c>
      <c r="G301" s="7">
        <v>0.0</v>
      </c>
      <c r="H301" s="7">
        <v>0.0</v>
      </c>
      <c r="I301" s="7">
        <v>1085.0</v>
      </c>
    </row>
    <row r="302" ht="15.75" customHeight="1">
      <c r="B302" s="7" t="s">
        <v>397</v>
      </c>
      <c r="C302" s="7" t="s">
        <v>398</v>
      </c>
      <c r="D302" s="7">
        <v>1100.0</v>
      </c>
      <c r="E302" s="7">
        <v>100.0</v>
      </c>
      <c r="F302" s="7">
        <v>0.0</v>
      </c>
      <c r="G302" s="7">
        <v>1000.0</v>
      </c>
      <c r="H302" s="7">
        <v>0.0</v>
      </c>
      <c r="I302" s="7">
        <v>1000.0</v>
      </c>
    </row>
    <row r="303" ht="15.75" customHeight="1">
      <c r="A303" s="29" t="s">
        <v>246</v>
      </c>
      <c r="D303" s="7">
        <f t="shared" ref="D303:I303" si="49">SUM(D301:D302)</f>
        <v>2185</v>
      </c>
      <c r="E303" s="7">
        <f t="shared" si="49"/>
        <v>100</v>
      </c>
      <c r="F303" s="7">
        <f t="shared" si="49"/>
        <v>1085</v>
      </c>
      <c r="G303" s="7">
        <f t="shared" si="49"/>
        <v>1000</v>
      </c>
      <c r="H303" s="7">
        <f t="shared" si="49"/>
        <v>0</v>
      </c>
      <c r="I303" s="7">
        <f t="shared" si="49"/>
        <v>2085</v>
      </c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</row>
    <row r="305" ht="15.75" customHeight="1">
      <c r="A305" s="7" t="s">
        <v>399</v>
      </c>
      <c r="B305" s="7" t="s">
        <v>400</v>
      </c>
      <c r="C305" s="7" t="s">
        <v>401</v>
      </c>
      <c r="D305" s="7">
        <v>600.0</v>
      </c>
      <c r="E305" s="7">
        <v>0.0</v>
      </c>
      <c r="F305" s="7">
        <v>600.0</v>
      </c>
      <c r="G305" s="7">
        <v>0.0</v>
      </c>
      <c r="H305" s="7">
        <v>0.0</v>
      </c>
      <c r="I305" s="7">
        <v>600.0</v>
      </c>
    </row>
    <row r="306" ht="15.75" customHeight="1">
      <c r="B306" s="7" t="s">
        <v>402</v>
      </c>
      <c r="C306" s="7" t="s">
        <v>403</v>
      </c>
      <c r="D306" s="7">
        <v>450.0</v>
      </c>
      <c r="E306" s="7">
        <v>0.0</v>
      </c>
      <c r="F306" s="7">
        <v>450.0</v>
      </c>
      <c r="G306" s="7">
        <v>0.0</v>
      </c>
      <c r="H306" s="7">
        <v>0.0</v>
      </c>
      <c r="I306" s="7">
        <v>450.0</v>
      </c>
    </row>
    <row r="307" ht="15.75" customHeight="1">
      <c r="B307" s="7" t="s">
        <v>404</v>
      </c>
      <c r="C307" s="7" t="s">
        <v>405</v>
      </c>
      <c r="D307" s="7">
        <v>675.0</v>
      </c>
      <c r="E307" s="7">
        <v>675.0</v>
      </c>
      <c r="F307" s="7">
        <v>0.0</v>
      </c>
      <c r="G307" s="7">
        <v>0.0</v>
      </c>
      <c r="H307" s="7">
        <v>0.0</v>
      </c>
      <c r="I307" s="7">
        <v>675.0</v>
      </c>
    </row>
    <row r="308" ht="15.75" customHeight="1">
      <c r="B308" s="7" t="s">
        <v>16</v>
      </c>
      <c r="C308" s="7" t="s">
        <v>406</v>
      </c>
      <c r="D308" s="7">
        <v>350.0</v>
      </c>
      <c r="E308" s="7">
        <v>0.0</v>
      </c>
      <c r="F308" s="7">
        <v>350.0</v>
      </c>
      <c r="G308" s="7">
        <v>0.0</v>
      </c>
      <c r="H308" s="7">
        <v>0.0</v>
      </c>
      <c r="I308" s="7">
        <v>250.0</v>
      </c>
    </row>
    <row r="309" ht="15.75" customHeight="1">
      <c r="B309" s="7" t="s">
        <v>407</v>
      </c>
      <c r="C309" s="7" t="s">
        <v>408</v>
      </c>
      <c r="D309" s="7">
        <v>300.0</v>
      </c>
      <c r="E309" s="7">
        <v>0.0</v>
      </c>
      <c r="F309" s="7">
        <v>300.0</v>
      </c>
      <c r="G309" s="7">
        <v>0.0</v>
      </c>
      <c r="H309" s="7">
        <v>0.0</v>
      </c>
      <c r="I309" s="7">
        <v>300.0</v>
      </c>
    </row>
    <row r="310" ht="15.75" customHeight="1">
      <c r="B310" s="7" t="s">
        <v>366</v>
      </c>
      <c r="C310" s="7" t="s">
        <v>409</v>
      </c>
      <c r="D310" s="7">
        <v>35.0</v>
      </c>
      <c r="E310" s="7">
        <v>35.0</v>
      </c>
      <c r="F310" s="7">
        <v>0.0</v>
      </c>
      <c r="G310" s="7">
        <v>0.0</v>
      </c>
      <c r="H310" s="7">
        <v>0.0</v>
      </c>
      <c r="I310" s="7">
        <v>35.0</v>
      </c>
    </row>
    <row r="311" ht="15.75" customHeight="1">
      <c r="B311" s="7" t="s">
        <v>410</v>
      </c>
      <c r="C311" s="7" t="s">
        <v>411</v>
      </c>
      <c r="D311" s="7">
        <v>425.0</v>
      </c>
      <c r="E311" s="7">
        <v>425.0</v>
      </c>
      <c r="F311" s="7">
        <v>0.0</v>
      </c>
      <c r="G311" s="7">
        <v>0.0</v>
      </c>
      <c r="H311" s="7">
        <v>0.0</v>
      </c>
      <c r="I311" s="7">
        <v>425.0</v>
      </c>
    </row>
    <row r="312" ht="15.75" customHeight="1">
      <c r="B312" s="7" t="s">
        <v>412</v>
      </c>
      <c r="C312" s="7" t="s">
        <v>413</v>
      </c>
      <c r="D312" s="7">
        <v>350.0</v>
      </c>
      <c r="E312" s="7">
        <v>350.0</v>
      </c>
      <c r="F312" s="7">
        <v>0.0</v>
      </c>
      <c r="G312" s="7">
        <v>0.0</v>
      </c>
      <c r="H312" s="7">
        <v>0.0</v>
      </c>
      <c r="I312" s="7">
        <v>350.0</v>
      </c>
    </row>
    <row r="313" ht="15.75" customHeight="1">
      <c r="B313" s="7" t="s">
        <v>414</v>
      </c>
      <c r="D313" s="7">
        <v>650.0</v>
      </c>
      <c r="E313" s="7">
        <v>0.0</v>
      </c>
      <c r="F313" s="7">
        <v>650.0</v>
      </c>
      <c r="G313" s="7">
        <v>0.0</v>
      </c>
      <c r="H313" s="7">
        <v>0.0</v>
      </c>
      <c r="I313" s="7">
        <v>650.0</v>
      </c>
    </row>
    <row r="314" ht="15.75" customHeight="1">
      <c r="A314" s="20" t="s">
        <v>65</v>
      </c>
      <c r="B314" s="20"/>
      <c r="C314" s="20"/>
      <c r="D314" s="20">
        <f t="shared" ref="D314:F314" si="50">SUM(D305:D313)</f>
        <v>3835</v>
      </c>
      <c r="E314" s="20">
        <f t="shared" si="50"/>
        <v>1485</v>
      </c>
      <c r="F314" s="20">
        <f t="shared" si="50"/>
        <v>2350</v>
      </c>
      <c r="G314" s="20"/>
      <c r="H314" s="20"/>
      <c r="I314" s="20">
        <f>SUM(I305:I313)</f>
        <v>3735</v>
      </c>
      <c r="J314" s="20"/>
    </row>
    <row r="315" ht="15.75" customHeight="1">
      <c r="A315" s="25">
        <v>45412.0</v>
      </c>
      <c r="B315" s="7" t="s">
        <v>415</v>
      </c>
      <c r="C315" s="7" t="s">
        <v>416</v>
      </c>
      <c r="D315" s="7">
        <v>285.0</v>
      </c>
      <c r="E315" s="7">
        <v>0.0</v>
      </c>
      <c r="F315" s="7">
        <v>285.0</v>
      </c>
      <c r="G315" s="7">
        <v>0.0</v>
      </c>
      <c r="H315" s="7">
        <v>0.0</v>
      </c>
      <c r="I315" s="7">
        <v>235.0</v>
      </c>
    </row>
    <row r="316" ht="15.75" customHeight="1">
      <c r="B316" s="7" t="s">
        <v>322</v>
      </c>
      <c r="C316" s="7" t="s">
        <v>417</v>
      </c>
      <c r="D316" s="7">
        <v>1100.0</v>
      </c>
      <c r="E316" s="7">
        <v>0.0</v>
      </c>
      <c r="F316" s="7">
        <v>1100.0</v>
      </c>
      <c r="G316" s="7">
        <v>0.0</v>
      </c>
      <c r="H316" s="7">
        <v>0.0</v>
      </c>
      <c r="I316" s="7">
        <v>1100.0</v>
      </c>
    </row>
    <row r="317" ht="15.75" customHeight="1">
      <c r="B317" s="7" t="s">
        <v>418</v>
      </c>
      <c r="C317" s="7" t="s">
        <v>419</v>
      </c>
      <c r="D317" s="7">
        <v>140.0</v>
      </c>
      <c r="E317" s="7">
        <v>140.0</v>
      </c>
      <c r="F317" s="7">
        <v>0.0</v>
      </c>
      <c r="G317" s="7">
        <v>0.0</v>
      </c>
      <c r="H317" s="7">
        <v>0.0</v>
      </c>
      <c r="I317" s="7">
        <v>140.0</v>
      </c>
    </row>
    <row r="318" ht="15.75" customHeight="1">
      <c r="A318" s="19" t="s">
        <v>420</v>
      </c>
      <c r="B318" s="19"/>
      <c r="C318" s="19"/>
      <c r="D318" s="41">
        <f>SUM(D315:D317)</f>
        <v>1525</v>
      </c>
      <c r="E318" s="19">
        <v>140.0</v>
      </c>
      <c r="F318" s="19">
        <f>SUM(F315:F317)</f>
        <v>1385</v>
      </c>
      <c r="G318" s="19"/>
      <c r="H318" s="19"/>
      <c r="I318" s="19">
        <f>SUM(I315:I317)</f>
        <v>1475</v>
      </c>
      <c r="J318" s="19"/>
    </row>
    <row r="319" ht="15.75" customHeight="1">
      <c r="B319" s="7" t="s">
        <v>421</v>
      </c>
    </row>
    <row r="320" ht="15.75" customHeight="1">
      <c r="B320" s="7" t="s">
        <v>422</v>
      </c>
      <c r="C320" s="7" t="s">
        <v>423</v>
      </c>
      <c r="D320" s="7">
        <v>350.0</v>
      </c>
      <c r="E320" s="7">
        <v>300.0</v>
      </c>
      <c r="F320" s="7">
        <v>0.0</v>
      </c>
      <c r="G320" s="7">
        <v>0.0</v>
      </c>
      <c r="H320" s="7">
        <v>0.0</v>
      </c>
      <c r="I320" s="7">
        <v>300.0</v>
      </c>
    </row>
    <row r="321" ht="15.75" customHeight="1">
      <c r="B321" s="7" t="s">
        <v>424</v>
      </c>
      <c r="C321" s="7" t="s">
        <v>425</v>
      </c>
      <c r="D321" s="7">
        <v>200.0</v>
      </c>
      <c r="E321" s="7">
        <v>200.0</v>
      </c>
      <c r="F321" s="7">
        <v>0.0</v>
      </c>
      <c r="G321" s="7">
        <v>0.0</v>
      </c>
      <c r="H321" s="7">
        <v>0.0</v>
      </c>
      <c r="I321" s="7">
        <v>250.0</v>
      </c>
    </row>
    <row r="322" ht="15.75" customHeight="1">
      <c r="B322" s="7" t="s">
        <v>426</v>
      </c>
      <c r="C322" s="7" t="s">
        <v>423</v>
      </c>
      <c r="D322" s="7">
        <v>300.0</v>
      </c>
      <c r="E322" s="7">
        <v>300.0</v>
      </c>
    </row>
    <row r="323" ht="15.75" customHeight="1">
      <c r="B323" s="7" t="s">
        <v>427</v>
      </c>
      <c r="C323" s="7" t="s">
        <v>428</v>
      </c>
      <c r="D323" s="7">
        <v>650.0</v>
      </c>
      <c r="E323" s="7">
        <v>0.0</v>
      </c>
      <c r="F323" s="7">
        <v>0.0</v>
      </c>
      <c r="G323" s="7">
        <v>650.0</v>
      </c>
      <c r="H323" s="7">
        <v>0.0</v>
      </c>
      <c r="I323" s="7">
        <v>650.0</v>
      </c>
    </row>
    <row r="324" ht="15.75" customHeight="1">
      <c r="B324" s="7" t="s">
        <v>429</v>
      </c>
      <c r="D324" s="7">
        <f>SUM(D320:D323)</f>
        <v>1500</v>
      </c>
    </row>
    <row r="325" ht="15.75" customHeight="1">
      <c r="A325" s="42" t="s">
        <v>430</v>
      </c>
      <c r="B325" s="19"/>
      <c r="C325" s="19"/>
      <c r="D325" s="19">
        <v>3025.0</v>
      </c>
      <c r="E325" s="19">
        <v>940.0</v>
      </c>
      <c r="F325" s="19">
        <v>1385.0</v>
      </c>
      <c r="G325" s="19">
        <v>650.0</v>
      </c>
      <c r="H325" s="19"/>
      <c r="I325" s="19"/>
      <c r="J325" s="19"/>
      <c r="K325" s="28" t="s">
        <v>431</v>
      </c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</row>
    <row r="327" ht="15.75" customHeight="1">
      <c r="A327" s="43">
        <v>45414.0</v>
      </c>
      <c r="B327" s="7" t="s">
        <v>432</v>
      </c>
      <c r="C327" s="7" t="s">
        <v>97</v>
      </c>
      <c r="D327" s="7">
        <v>500.0</v>
      </c>
      <c r="E327" s="7">
        <v>500.0</v>
      </c>
      <c r="F327" s="7">
        <v>0.0</v>
      </c>
      <c r="G327" s="7">
        <v>0.0</v>
      </c>
      <c r="H327" s="7">
        <v>0.0</v>
      </c>
      <c r="I327" s="7">
        <v>500.0</v>
      </c>
      <c r="K327" s="7" t="s">
        <v>13</v>
      </c>
      <c r="L327" s="7" t="s">
        <v>10</v>
      </c>
      <c r="M327" s="7" t="s">
        <v>11</v>
      </c>
      <c r="N327" s="7" t="s">
        <v>14</v>
      </c>
    </row>
    <row r="328" ht="15.75" customHeight="1">
      <c r="A328" s="25"/>
      <c r="B328" s="7" t="s">
        <v>433</v>
      </c>
      <c r="C328" s="7" t="s">
        <v>434</v>
      </c>
      <c r="D328" s="7">
        <v>1425.0</v>
      </c>
      <c r="E328" s="7">
        <v>0.0</v>
      </c>
      <c r="F328" s="7">
        <v>0.0</v>
      </c>
      <c r="G328" s="7">
        <v>1350.0</v>
      </c>
      <c r="H328" s="7">
        <v>0.0</v>
      </c>
      <c r="I328" s="7">
        <v>1350.0</v>
      </c>
      <c r="L328" s="7">
        <v>500.0</v>
      </c>
      <c r="M328" s="7">
        <v>1885.0</v>
      </c>
    </row>
    <row r="329" ht="15.75" customHeight="1">
      <c r="B329" s="7" t="s">
        <v>435</v>
      </c>
      <c r="C329" s="7" t="s">
        <v>436</v>
      </c>
      <c r="D329" s="7">
        <v>650.0</v>
      </c>
      <c r="E329" s="7">
        <v>0.0</v>
      </c>
      <c r="F329" s="7">
        <v>650.0</v>
      </c>
      <c r="G329" s="7">
        <v>0.0</v>
      </c>
      <c r="H329" s="7">
        <v>0.0</v>
      </c>
      <c r="I329" s="7">
        <v>650.0</v>
      </c>
      <c r="K329" s="7">
        <v>1650.0</v>
      </c>
      <c r="L329" s="7">
        <v>850.0</v>
      </c>
      <c r="M329" s="7">
        <v>800.0</v>
      </c>
    </row>
    <row r="330" ht="15.75" customHeight="1">
      <c r="B330" s="7" t="s">
        <v>437</v>
      </c>
      <c r="C330" s="7" t="s">
        <v>438</v>
      </c>
      <c r="D330" s="7">
        <v>300.0</v>
      </c>
      <c r="E330" s="7">
        <v>300.0</v>
      </c>
      <c r="F330" s="7">
        <v>0.0</v>
      </c>
      <c r="G330" s="7">
        <v>0.0</v>
      </c>
      <c r="H330" s="7">
        <v>0.0</v>
      </c>
      <c r="I330" s="7">
        <v>0.0</v>
      </c>
      <c r="K330" s="7">
        <v>1600.0</v>
      </c>
      <c r="L330" s="7">
        <v>1050.0</v>
      </c>
      <c r="M330" s="7">
        <v>550.0</v>
      </c>
    </row>
    <row r="331" ht="15.75" customHeight="1">
      <c r="B331" s="7" t="s">
        <v>439</v>
      </c>
      <c r="C331" s="7" t="s">
        <v>440</v>
      </c>
      <c r="D331" s="7">
        <v>350.0</v>
      </c>
      <c r="E331" s="7">
        <v>350.0</v>
      </c>
      <c r="F331" s="7">
        <v>0.0</v>
      </c>
      <c r="G331" s="7">
        <v>0.0</v>
      </c>
      <c r="H331" s="7">
        <v>0.0</v>
      </c>
      <c r="I331" s="7">
        <v>350.0</v>
      </c>
      <c r="K331" s="7">
        <v>1650.0</v>
      </c>
      <c r="L331" s="7">
        <v>850.0</v>
      </c>
      <c r="M331" s="7">
        <v>800.0</v>
      </c>
    </row>
    <row r="332" ht="15.75" customHeight="1">
      <c r="B332" s="7" t="s">
        <v>441</v>
      </c>
      <c r="C332" s="7" t="s">
        <v>442</v>
      </c>
      <c r="D332" s="7">
        <v>150.0</v>
      </c>
      <c r="E332" s="7">
        <v>150.0</v>
      </c>
      <c r="F332" s="7">
        <v>0.0</v>
      </c>
      <c r="G332" s="7">
        <v>0.0</v>
      </c>
      <c r="H332" s="7">
        <v>0.0</v>
      </c>
      <c r="I332" s="7">
        <v>150.0</v>
      </c>
      <c r="K332" s="7">
        <v>450.0</v>
      </c>
      <c r="L332" s="7">
        <v>0.0</v>
      </c>
      <c r="M332" s="7">
        <v>450.0</v>
      </c>
    </row>
    <row r="333" ht="15.75" customHeight="1">
      <c r="B333" s="7" t="s">
        <v>443</v>
      </c>
      <c r="C333" s="7" t="s">
        <v>444</v>
      </c>
      <c r="D333" s="7">
        <v>640.0</v>
      </c>
      <c r="E333" s="7">
        <v>40.0</v>
      </c>
      <c r="F333" s="7">
        <v>600.0</v>
      </c>
      <c r="G333" s="7">
        <v>0.0</v>
      </c>
      <c r="H333" s="7">
        <v>0.0</v>
      </c>
      <c r="I333" s="7">
        <v>600.0</v>
      </c>
      <c r="K333" s="7">
        <v>2180.0</v>
      </c>
      <c r="L333" s="7">
        <v>1280.0</v>
      </c>
      <c r="M333" s="7">
        <v>900.0</v>
      </c>
    </row>
    <row r="334" ht="15.75" customHeight="1">
      <c r="A334" s="36" t="s">
        <v>246</v>
      </c>
      <c r="B334" s="20"/>
      <c r="C334" s="20"/>
      <c r="D334" s="20">
        <f t="shared" ref="D334:G334" si="51">SUM(D327:D333)</f>
        <v>4015</v>
      </c>
      <c r="E334" s="20">
        <f t="shared" si="51"/>
        <v>1340</v>
      </c>
      <c r="F334" s="20">
        <f t="shared" si="51"/>
        <v>1250</v>
      </c>
      <c r="G334" s="20">
        <f t="shared" si="51"/>
        <v>1350</v>
      </c>
      <c r="H334" s="20"/>
      <c r="I334" s="20">
        <f>SUM(I327:I333)</f>
        <v>3600</v>
      </c>
      <c r="J334" s="20"/>
      <c r="K334" s="7">
        <v>1560.0</v>
      </c>
      <c r="L334" s="7">
        <v>1210.0</v>
      </c>
      <c r="M334" s="7">
        <v>350.0</v>
      </c>
    </row>
    <row r="335" ht="15.75" customHeight="1">
      <c r="A335" s="25">
        <v>45415.0</v>
      </c>
      <c r="B335" s="7" t="s">
        <v>445</v>
      </c>
      <c r="C335" s="44" t="s">
        <v>446</v>
      </c>
      <c r="D335" s="7">
        <v>300.0</v>
      </c>
      <c r="E335" s="7">
        <v>300.0</v>
      </c>
      <c r="F335" s="7">
        <v>0.0</v>
      </c>
      <c r="G335" s="7">
        <v>0.0</v>
      </c>
      <c r="H335" s="7">
        <v>0.0</v>
      </c>
      <c r="I335" s="7">
        <v>300.0</v>
      </c>
      <c r="K335" s="7">
        <v>1560.0</v>
      </c>
      <c r="L335" s="7">
        <v>1210.0</v>
      </c>
      <c r="M335" s="7">
        <v>350.0</v>
      </c>
    </row>
    <row r="336" ht="15.75" customHeight="1">
      <c r="B336" s="7" t="s">
        <v>447</v>
      </c>
      <c r="C336" s="7" t="s">
        <v>448</v>
      </c>
      <c r="D336" s="7">
        <v>250.0</v>
      </c>
      <c r="E336" s="7">
        <v>0.0</v>
      </c>
      <c r="F336" s="7">
        <v>250.0</v>
      </c>
      <c r="G336" s="7">
        <v>0.0</v>
      </c>
      <c r="H336" s="7">
        <v>0.0</v>
      </c>
      <c r="I336" s="7">
        <v>250.0</v>
      </c>
      <c r="K336" s="7">
        <v>2450.0</v>
      </c>
      <c r="L336" s="7">
        <v>0.0</v>
      </c>
      <c r="M336" s="7">
        <v>2450.0</v>
      </c>
    </row>
    <row r="337" ht="15.75" customHeight="1">
      <c r="B337" s="7" t="s">
        <v>84</v>
      </c>
      <c r="C337" s="7" t="s">
        <v>449</v>
      </c>
      <c r="D337" s="7">
        <v>100.0</v>
      </c>
      <c r="E337" s="7">
        <v>100.0</v>
      </c>
      <c r="F337" s="7">
        <v>0.0</v>
      </c>
      <c r="G337" s="7">
        <v>0.0</v>
      </c>
      <c r="H337" s="7">
        <v>0.0</v>
      </c>
      <c r="I337" s="7">
        <v>100.0</v>
      </c>
      <c r="K337" s="7">
        <v>2435.0</v>
      </c>
      <c r="L337" s="7">
        <v>1050.0</v>
      </c>
      <c r="M337" s="7">
        <v>1385.0</v>
      </c>
    </row>
    <row r="338" ht="15.75" customHeight="1">
      <c r="B338" s="7" t="s">
        <v>450</v>
      </c>
      <c r="C338" s="7" t="s">
        <v>451</v>
      </c>
      <c r="D338" s="7">
        <v>100.0</v>
      </c>
      <c r="E338" s="7">
        <v>0.0</v>
      </c>
      <c r="F338" s="7">
        <v>100.0</v>
      </c>
      <c r="G338" s="7">
        <v>0.0</v>
      </c>
      <c r="H338" s="7">
        <v>0.0</v>
      </c>
      <c r="I338" s="7">
        <v>100.0</v>
      </c>
      <c r="K338" s="7">
        <v>2385.0</v>
      </c>
      <c r="L338" s="7">
        <v>350.0</v>
      </c>
      <c r="M338" s="7">
        <v>2035.0</v>
      </c>
    </row>
    <row r="339" ht="15.75" customHeight="1">
      <c r="B339" s="45" t="s">
        <v>452</v>
      </c>
      <c r="C339" s="7" t="s">
        <v>453</v>
      </c>
      <c r="D339" s="7">
        <v>350.0</v>
      </c>
      <c r="F339" s="7">
        <v>350.0</v>
      </c>
      <c r="G339" s="7">
        <v>0.0</v>
      </c>
      <c r="H339" s="7">
        <v>0.0</v>
      </c>
      <c r="I339" s="7">
        <v>350.0</v>
      </c>
      <c r="K339" s="7">
        <v>2385.0</v>
      </c>
      <c r="L339" s="7">
        <v>350.0</v>
      </c>
      <c r="M339" s="7">
        <v>2035.0</v>
      </c>
    </row>
    <row r="340" ht="15.75" customHeight="1">
      <c r="D340" s="7">
        <f t="shared" ref="D340:E340" si="52">SUM(D335:D339)</f>
        <v>1100</v>
      </c>
      <c r="E340" s="7">
        <f t="shared" si="52"/>
        <v>400</v>
      </c>
      <c r="K340" s="7">
        <v>2085.0</v>
      </c>
      <c r="L340" s="7">
        <v>1735.0</v>
      </c>
      <c r="M340" s="7">
        <v>350.0</v>
      </c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7">
        <v>1400.0</v>
      </c>
      <c r="L341" s="7">
        <v>950.0</v>
      </c>
      <c r="M341" s="7">
        <v>450.0</v>
      </c>
    </row>
    <row r="342" ht="15.75" customHeight="1">
      <c r="A342" s="25">
        <v>45418.0</v>
      </c>
      <c r="B342" s="7" t="s">
        <v>454</v>
      </c>
      <c r="C342" s="7" t="s">
        <v>455</v>
      </c>
      <c r="D342" s="7">
        <v>350.0</v>
      </c>
      <c r="E342" s="7">
        <v>350.0</v>
      </c>
      <c r="F342" s="7">
        <v>0.0</v>
      </c>
      <c r="G342" s="7">
        <v>0.0</v>
      </c>
      <c r="H342" s="7">
        <v>0.0</v>
      </c>
      <c r="I342" s="7">
        <v>350.0</v>
      </c>
      <c r="K342" s="7">
        <v>2340.0</v>
      </c>
      <c r="L342" s="7">
        <v>800.0</v>
      </c>
      <c r="M342" s="7">
        <v>1540.0</v>
      </c>
    </row>
    <row r="343" ht="15.75" customHeight="1">
      <c r="B343" s="7" t="s">
        <v>456</v>
      </c>
      <c r="C343" s="7" t="s">
        <v>457</v>
      </c>
      <c r="D343" s="7">
        <v>335.0</v>
      </c>
      <c r="E343" s="7">
        <v>0.0</v>
      </c>
      <c r="F343" s="7">
        <v>335.0</v>
      </c>
      <c r="G343" s="7">
        <v>0.0</v>
      </c>
      <c r="H343" s="7">
        <v>0.0</v>
      </c>
      <c r="I343" s="7">
        <v>0.0</v>
      </c>
      <c r="K343" s="7">
        <v>700.0</v>
      </c>
      <c r="L343" s="7">
        <v>700.0</v>
      </c>
      <c r="M343" s="7">
        <v>0.0</v>
      </c>
    </row>
    <row r="344" ht="15.75" customHeight="1">
      <c r="B344" s="7" t="s">
        <v>193</v>
      </c>
      <c r="C344" s="44" t="s">
        <v>458</v>
      </c>
      <c r="D344" s="7">
        <v>200.0</v>
      </c>
      <c r="G344" s="7">
        <v>0.0</v>
      </c>
      <c r="H344" s="7">
        <v>0.0</v>
      </c>
      <c r="I344" s="7">
        <v>0.0</v>
      </c>
      <c r="K344" s="7">
        <v>2800.0</v>
      </c>
      <c r="L344" s="7">
        <v>1000.0</v>
      </c>
      <c r="M344" s="7">
        <v>1500.0</v>
      </c>
      <c r="N344" s="7">
        <v>300.0</v>
      </c>
    </row>
    <row r="345" ht="15.75" customHeight="1">
      <c r="B345" s="7" t="s">
        <v>459</v>
      </c>
      <c r="C345" s="7" t="s">
        <v>460</v>
      </c>
      <c r="D345" s="7">
        <v>150.0</v>
      </c>
      <c r="E345" s="7">
        <v>0.0</v>
      </c>
      <c r="F345" s="7">
        <v>150.0</v>
      </c>
      <c r="G345" s="7">
        <v>0.0</v>
      </c>
      <c r="H345" s="7">
        <v>0.0</v>
      </c>
      <c r="I345" s="7">
        <v>150.0</v>
      </c>
      <c r="K345" s="7">
        <v>1350.0</v>
      </c>
      <c r="L345" s="7">
        <v>1050.0</v>
      </c>
      <c r="M345" s="7">
        <v>300.0</v>
      </c>
    </row>
    <row r="346" ht="15.75" customHeight="1">
      <c r="B346" s="7" t="s">
        <v>461</v>
      </c>
      <c r="C346" s="7" t="s">
        <v>462</v>
      </c>
      <c r="D346" s="7">
        <v>450.0</v>
      </c>
      <c r="E346" s="7">
        <v>0.0</v>
      </c>
      <c r="F346" s="7">
        <v>450.0</v>
      </c>
      <c r="G346" s="7">
        <v>0.0</v>
      </c>
      <c r="H346" s="7">
        <v>0.0</v>
      </c>
      <c r="I346" s="7">
        <v>450.0</v>
      </c>
      <c r="K346" s="7">
        <v>2450.0</v>
      </c>
      <c r="L346" s="7">
        <v>500.0</v>
      </c>
      <c r="M346" s="7">
        <v>450.0</v>
      </c>
      <c r="N346" s="7">
        <v>1500.0</v>
      </c>
    </row>
    <row r="347" ht="15.75" customHeight="1">
      <c r="B347" s="7" t="s">
        <v>463</v>
      </c>
      <c r="C347" s="7" t="s">
        <v>464</v>
      </c>
      <c r="D347" s="7">
        <v>150.0</v>
      </c>
      <c r="E347" s="7">
        <v>150.0</v>
      </c>
      <c r="F347" s="7">
        <v>0.0</v>
      </c>
      <c r="G347" s="7">
        <v>0.0</v>
      </c>
      <c r="H347" s="7">
        <v>0.0</v>
      </c>
      <c r="I347" s="7">
        <v>150.0</v>
      </c>
      <c r="K347" s="7">
        <f t="shared" ref="K347:M347" si="53">SUM(K328:K346)</f>
        <v>33430</v>
      </c>
      <c r="L347" s="7">
        <f t="shared" si="53"/>
        <v>15435</v>
      </c>
      <c r="M347" s="7">
        <f t="shared" si="53"/>
        <v>18580</v>
      </c>
      <c r="N347" s="7">
        <f>SUM(N344:N346)</f>
        <v>1800</v>
      </c>
    </row>
    <row r="348" ht="15.75" customHeight="1">
      <c r="B348" s="7" t="s">
        <v>465</v>
      </c>
      <c r="C348" s="7" t="s">
        <v>466</v>
      </c>
      <c r="D348" s="7">
        <v>300.0</v>
      </c>
      <c r="E348" s="7">
        <v>0.0</v>
      </c>
      <c r="F348" s="7">
        <v>300.0</v>
      </c>
      <c r="G348" s="7">
        <v>0.0</v>
      </c>
      <c r="H348" s="7">
        <v>0.0</v>
      </c>
      <c r="I348" s="7">
        <v>300.0</v>
      </c>
    </row>
    <row r="349" ht="15.75" customHeight="1">
      <c r="B349" s="7" t="s">
        <v>467</v>
      </c>
      <c r="C349" s="7" t="s">
        <v>468</v>
      </c>
      <c r="D349" s="7">
        <v>50.0</v>
      </c>
      <c r="E349" s="7">
        <v>0.0</v>
      </c>
      <c r="F349" s="7">
        <v>50.0</v>
      </c>
      <c r="G349" s="7">
        <v>0.0</v>
      </c>
      <c r="H349" s="7">
        <v>0.0</v>
      </c>
      <c r="I349" s="7">
        <v>50.0</v>
      </c>
    </row>
    <row r="350" ht="15.75" customHeight="1">
      <c r="D350" s="7">
        <f t="shared" ref="D350:F350" si="54">SUM(D342:D349)</f>
        <v>1985</v>
      </c>
      <c r="E350" s="7">
        <f t="shared" si="54"/>
        <v>500</v>
      </c>
      <c r="F350" s="7">
        <f t="shared" si="54"/>
        <v>1285</v>
      </c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</row>
    <row r="352" ht="15.75" customHeight="1">
      <c r="A352" s="25">
        <v>45419.0</v>
      </c>
      <c r="B352" s="7" t="s">
        <v>231</v>
      </c>
      <c r="C352" s="7" t="s">
        <v>469</v>
      </c>
      <c r="D352" s="7">
        <v>600.0</v>
      </c>
      <c r="E352" s="7">
        <v>600.0</v>
      </c>
      <c r="F352" s="7">
        <v>0.0</v>
      </c>
      <c r="G352" s="7">
        <v>0.0</v>
      </c>
      <c r="H352" s="7">
        <v>0.0</v>
      </c>
      <c r="I352" s="7">
        <v>600.0</v>
      </c>
    </row>
    <row r="353" ht="15.75" customHeight="1">
      <c r="B353" s="7" t="s">
        <v>470</v>
      </c>
      <c r="C353" s="7" t="s">
        <v>471</v>
      </c>
      <c r="D353" s="7">
        <v>250.0</v>
      </c>
      <c r="E353" s="7">
        <v>250.0</v>
      </c>
      <c r="F353" s="7">
        <v>0.0</v>
      </c>
      <c r="G353" s="7">
        <v>0.0</v>
      </c>
      <c r="H353" s="7">
        <v>0.0</v>
      </c>
      <c r="I353" s="7">
        <v>250.0</v>
      </c>
    </row>
    <row r="354" ht="15.75" customHeight="1">
      <c r="B354" s="7" t="s">
        <v>282</v>
      </c>
      <c r="C354" s="7" t="s">
        <v>472</v>
      </c>
      <c r="D354" s="7">
        <v>800.0</v>
      </c>
      <c r="E354" s="7">
        <v>0.0</v>
      </c>
      <c r="F354" s="7">
        <v>800.0</v>
      </c>
      <c r="G354" s="7">
        <v>0.0</v>
      </c>
      <c r="H354" s="7">
        <v>0.0</v>
      </c>
      <c r="I354" s="7">
        <v>800.0</v>
      </c>
    </row>
    <row r="355" ht="15.75" customHeight="1">
      <c r="B355" s="7" t="s">
        <v>473</v>
      </c>
      <c r="D355" s="7">
        <f t="shared" ref="D355:F355" si="55">SUM(D352:D354)</f>
        <v>1650</v>
      </c>
      <c r="E355" s="7">
        <f t="shared" si="55"/>
        <v>850</v>
      </c>
      <c r="F355" s="7">
        <f t="shared" si="55"/>
        <v>800</v>
      </c>
      <c r="I355" s="7">
        <f>SUM(I352:I354)</f>
        <v>1650</v>
      </c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</row>
    <row r="357" ht="15.75" customHeight="1">
      <c r="A357" s="25">
        <v>45420.0</v>
      </c>
      <c r="B357" s="7" t="s">
        <v>474</v>
      </c>
      <c r="C357" s="7" t="s">
        <v>475</v>
      </c>
      <c r="D357" s="7">
        <v>350.0</v>
      </c>
      <c r="E357" s="7">
        <v>0.0</v>
      </c>
      <c r="F357" s="7">
        <v>350.0</v>
      </c>
      <c r="G357" s="7">
        <v>0.0</v>
      </c>
      <c r="H357" s="7">
        <v>0.0</v>
      </c>
      <c r="I357" s="7">
        <v>350.0</v>
      </c>
    </row>
    <row r="358" ht="15.75" customHeight="1">
      <c r="B358" s="7" t="s">
        <v>476</v>
      </c>
      <c r="C358" s="7" t="s">
        <v>176</v>
      </c>
      <c r="D358" s="7">
        <v>300.0</v>
      </c>
      <c r="E358" s="7">
        <v>300.0</v>
      </c>
      <c r="F358" s="7">
        <v>0.0</v>
      </c>
      <c r="G358" s="7">
        <v>0.0</v>
      </c>
      <c r="H358" s="7">
        <v>0.0</v>
      </c>
      <c r="I358" s="7">
        <v>300.0</v>
      </c>
    </row>
    <row r="359" ht="15.75" customHeight="1">
      <c r="B359" s="7" t="s">
        <v>287</v>
      </c>
      <c r="C359" s="7" t="s">
        <v>477</v>
      </c>
      <c r="D359" s="7">
        <v>250.0</v>
      </c>
      <c r="E359" s="7">
        <v>250.0</v>
      </c>
      <c r="G359" s="7">
        <v>0.0</v>
      </c>
      <c r="H359" s="7">
        <v>0.0</v>
      </c>
      <c r="I359" s="7">
        <v>250.0</v>
      </c>
    </row>
    <row r="360" ht="15.75" customHeight="1">
      <c r="B360" s="46" t="s">
        <v>478</v>
      </c>
      <c r="C360" s="7" t="s">
        <v>479</v>
      </c>
      <c r="D360" s="7">
        <v>200.0</v>
      </c>
      <c r="E360" s="7"/>
      <c r="F360" s="7">
        <v>200.0</v>
      </c>
      <c r="G360" s="7">
        <v>0.0</v>
      </c>
      <c r="H360" s="7">
        <v>0.0</v>
      </c>
      <c r="I360" s="7">
        <v>200.0</v>
      </c>
    </row>
    <row r="361" ht="15.75" customHeight="1">
      <c r="B361" s="7" t="s">
        <v>480</v>
      </c>
      <c r="C361" s="7" t="s">
        <v>481</v>
      </c>
      <c r="D361" s="7">
        <v>500.0</v>
      </c>
      <c r="E361" s="7">
        <v>500.0</v>
      </c>
      <c r="F361" s="7">
        <v>0.0</v>
      </c>
      <c r="G361" s="7">
        <v>0.0</v>
      </c>
      <c r="H361" s="7">
        <v>0.0</v>
      </c>
      <c r="I361" s="7">
        <v>500.0</v>
      </c>
    </row>
    <row r="362" ht="15.75" customHeight="1">
      <c r="D362" s="7">
        <v>0.0</v>
      </c>
      <c r="E362" s="7">
        <v>0.0</v>
      </c>
      <c r="F362" s="7">
        <v>0.0</v>
      </c>
      <c r="G362" s="7">
        <v>0.0</v>
      </c>
      <c r="H362" s="7">
        <v>0.0</v>
      </c>
      <c r="I362" s="7">
        <v>0.0</v>
      </c>
    </row>
    <row r="363" ht="15.75" customHeight="1">
      <c r="A363" s="29" t="s">
        <v>65</v>
      </c>
      <c r="B363" s="29"/>
      <c r="C363" s="29"/>
      <c r="D363" s="29">
        <f t="shared" ref="D363:E363" si="56">SUM(D357:D362)</f>
        <v>1600</v>
      </c>
      <c r="E363" s="29">
        <f t="shared" si="56"/>
        <v>1050</v>
      </c>
      <c r="F363" s="29">
        <f>SUM(F356:F362)</f>
        <v>550</v>
      </c>
      <c r="G363" s="29"/>
      <c r="H363" s="29"/>
      <c r="I363" s="29">
        <f>SUM(I357:I362)</f>
        <v>1600</v>
      </c>
      <c r="J363" s="29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</row>
    <row r="365" ht="15.75" customHeight="1">
      <c r="A365" s="7" t="s">
        <v>482</v>
      </c>
      <c r="B365" s="7" t="s">
        <v>483</v>
      </c>
      <c r="C365" s="7" t="s">
        <v>484</v>
      </c>
      <c r="D365" s="7">
        <v>200.0</v>
      </c>
      <c r="E365" s="7">
        <v>0.0</v>
      </c>
      <c r="F365" s="7">
        <v>200.0</v>
      </c>
      <c r="G365" s="7">
        <v>0.0</v>
      </c>
      <c r="H365" s="7">
        <v>0.0</v>
      </c>
      <c r="I365" s="7">
        <v>200.0</v>
      </c>
    </row>
    <row r="366" ht="15.75" customHeight="1">
      <c r="B366" s="7" t="s">
        <v>485</v>
      </c>
      <c r="C366" s="7" t="s">
        <v>486</v>
      </c>
      <c r="D366" s="7">
        <v>400.0</v>
      </c>
      <c r="E366" s="7">
        <v>0.0</v>
      </c>
      <c r="F366" s="7">
        <v>400.0</v>
      </c>
      <c r="G366" s="7">
        <v>0.0</v>
      </c>
      <c r="H366" s="7">
        <v>0.0</v>
      </c>
      <c r="I366" s="7">
        <v>400.0</v>
      </c>
    </row>
    <row r="367" ht="15.75" customHeight="1">
      <c r="B367" s="7" t="s">
        <v>487</v>
      </c>
      <c r="C367" s="7" t="s">
        <v>316</v>
      </c>
      <c r="D367" s="7">
        <v>350.0</v>
      </c>
      <c r="E367" s="7">
        <v>350.0</v>
      </c>
      <c r="F367" s="7">
        <v>0.0</v>
      </c>
      <c r="G367" s="7">
        <v>0.0</v>
      </c>
      <c r="H367" s="7">
        <v>0.0</v>
      </c>
      <c r="I367" s="7">
        <v>350.0</v>
      </c>
    </row>
    <row r="368" ht="15.75" customHeight="1">
      <c r="B368" s="7" t="s">
        <v>488</v>
      </c>
      <c r="C368" s="7" t="s">
        <v>489</v>
      </c>
      <c r="D368" s="7">
        <v>400.0</v>
      </c>
      <c r="E368" s="7">
        <v>400.0</v>
      </c>
      <c r="F368" s="7">
        <v>0.0</v>
      </c>
      <c r="G368" s="7">
        <v>0.0</v>
      </c>
      <c r="H368" s="7">
        <v>0.0</v>
      </c>
      <c r="I368" s="7">
        <v>400.0</v>
      </c>
    </row>
    <row r="369" ht="15.75" customHeight="1">
      <c r="B369" s="7" t="s">
        <v>490</v>
      </c>
      <c r="C369" s="7" t="s">
        <v>491</v>
      </c>
      <c r="D369" s="7">
        <v>100.0</v>
      </c>
      <c r="E369" s="7">
        <v>100.0</v>
      </c>
      <c r="F369" s="7">
        <v>0.0</v>
      </c>
      <c r="G369" s="7">
        <v>0.0</v>
      </c>
      <c r="H369" s="7">
        <v>0.0</v>
      </c>
      <c r="I369" s="7">
        <v>100.0</v>
      </c>
    </row>
    <row r="370" ht="15.75" customHeight="1">
      <c r="B370" s="7" t="s">
        <v>40</v>
      </c>
      <c r="C370" s="7" t="s">
        <v>492</v>
      </c>
      <c r="D370" s="7">
        <v>200.0</v>
      </c>
      <c r="E370" s="7">
        <v>0.0</v>
      </c>
      <c r="F370" s="7">
        <v>200.0</v>
      </c>
      <c r="G370" s="7">
        <v>0.0</v>
      </c>
      <c r="H370" s="7">
        <v>0.0</v>
      </c>
      <c r="I370" s="7">
        <v>200.0</v>
      </c>
    </row>
    <row r="371" ht="15.75" customHeight="1">
      <c r="A371" s="19"/>
      <c r="B371" s="19"/>
      <c r="C371" s="42" t="s">
        <v>25</v>
      </c>
      <c r="D371" s="42">
        <f t="shared" ref="D371:F371" si="57">SUM(D365:D370)</f>
        <v>1650</v>
      </c>
      <c r="E371" s="42">
        <f t="shared" si="57"/>
        <v>850</v>
      </c>
      <c r="F371" s="42">
        <f t="shared" si="57"/>
        <v>800</v>
      </c>
      <c r="G371" s="19"/>
      <c r="H371" s="19"/>
      <c r="I371" s="19">
        <f>SUM(I365:I370)</f>
        <v>1650</v>
      </c>
      <c r="J371" s="19"/>
    </row>
    <row r="372" ht="15.75" customHeight="1">
      <c r="A372" s="25"/>
      <c r="C372" s="7">
        <v>0.0</v>
      </c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</row>
    <row r="374" ht="15.75" customHeight="1">
      <c r="A374" s="25">
        <v>45426.0</v>
      </c>
      <c r="B374" s="7" t="s">
        <v>105</v>
      </c>
      <c r="C374" s="7" t="s">
        <v>493</v>
      </c>
      <c r="D374" s="7">
        <v>280.0</v>
      </c>
      <c r="E374" s="7">
        <v>280.0</v>
      </c>
      <c r="F374" s="7">
        <v>0.0</v>
      </c>
      <c r="G374" s="7">
        <v>0.0</v>
      </c>
      <c r="H374" s="7">
        <v>0.0</v>
      </c>
      <c r="I374" s="7">
        <v>280.0</v>
      </c>
    </row>
    <row r="375" ht="15.75" customHeight="1">
      <c r="B375" s="7" t="s">
        <v>207</v>
      </c>
      <c r="C375" s="7" t="s">
        <v>494</v>
      </c>
      <c r="D375" s="7">
        <v>300.0</v>
      </c>
      <c r="E375" s="7">
        <v>300.0</v>
      </c>
      <c r="F375" s="7">
        <v>0.0</v>
      </c>
      <c r="G375" s="7">
        <v>0.0</v>
      </c>
      <c r="H375" s="7">
        <v>0.0</v>
      </c>
      <c r="I375" s="7">
        <v>300.0</v>
      </c>
    </row>
    <row r="376" ht="15.75" customHeight="1">
      <c r="B376" s="7" t="s">
        <v>495</v>
      </c>
      <c r="C376" s="7" t="s">
        <v>496</v>
      </c>
      <c r="D376" s="7">
        <v>700.0</v>
      </c>
      <c r="E376" s="7">
        <v>0.0</v>
      </c>
      <c r="F376" s="7">
        <v>700.0</v>
      </c>
      <c r="G376" s="7">
        <v>0.0</v>
      </c>
      <c r="H376" s="7">
        <v>0.0</v>
      </c>
      <c r="I376" s="7">
        <v>700.0</v>
      </c>
    </row>
    <row r="377" ht="15.75" customHeight="1">
      <c r="B377" s="7" t="s">
        <v>497</v>
      </c>
      <c r="C377" s="7" t="s">
        <v>498</v>
      </c>
      <c r="D377" s="7">
        <v>150.0</v>
      </c>
      <c r="E377" s="7">
        <v>150.0</v>
      </c>
      <c r="F377" s="7">
        <v>0.0</v>
      </c>
      <c r="G377" s="7">
        <v>0.0</v>
      </c>
      <c r="H377" s="7">
        <v>0.0</v>
      </c>
      <c r="I377" s="7">
        <v>150.0</v>
      </c>
    </row>
    <row r="378" ht="15.75" customHeight="1">
      <c r="B378" s="7" t="s">
        <v>499</v>
      </c>
      <c r="C378" s="7" t="s">
        <v>500</v>
      </c>
      <c r="D378" s="7">
        <v>50.0</v>
      </c>
      <c r="E378" s="7">
        <v>50.0</v>
      </c>
      <c r="F378" s="7">
        <v>0.0</v>
      </c>
      <c r="G378" s="7">
        <v>0.0</v>
      </c>
      <c r="H378" s="7">
        <v>0.0</v>
      </c>
      <c r="I378" s="7">
        <v>50.0</v>
      </c>
    </row>
    <row r="379" ht="15.75" customHeight="1">
      <c r="A379" s="19" t="s">
        <v>501</v>
      </c>
      <c r="B379" s="19"/>
      <c r="C379" s="19"/>
      <c r="D379" s="19">
        <f t="shared" ref="D379:F379" si="58">SUM(D374:D378)</f>
        <v>1480</v>
      </c>
      <c r="E379" s="19">
        <f t="shared" si="58"/>
        <v>780</v>
      </c>
      <c r="F379" s="19">
        <f t="shared" si="58"/>
        <v>700</v>
      </c>
      <c r="G379" s="19"/>
      <c r="H379" s="19"/>
      <c r="I379" s="19">
        <f>SUM(I374:I378)</f>
        <v>1480</v>
      </c>
      <c r="J379" s="19"/>
    </row>
    <row r="380" ht="15.75" customHeight="1">
      <c r="B380" s="7" t="s">
        <v>502</v>
      </c>
      <c r="C380" s="7" t="s">
        <v>503</v>
      </c>
      <c r="D380" s="7">
        <v>300.0</v>
      </c>
      <c r="E380" s="7">
        <v>300.0</v>
      </c>
      <c r="F380" s="7">
        <v>0.0</v>
      </c>
      <c r="G380" s="7">
        <v>0.0</v>
      </c>
      <c r="H380" s="7">
        <v>0.0</v>
      </c>
      <c r="I380" s="7">
        <v>300.0</v>
      </c>
    </row>
    <row r="381" ht="15.75" customHeight="1">
      <c r="B381" s="7" t="s">
        <v>504</v>
      </c>
      <c r="C381" s="7" t="s">
        <v>505</v>
      </c>
      <c r="D381" s="7">
        <v>400.0</v>
      </c>
      <c r="E381" s="7">
        <v>200.0</v>
      </c>
      <c r="F381" s="7">
        <v>200.0</v>
      </c>
      <c r="G381" s="7">
        <v>0.0</v>
      </c>
      <c r="H381" s="7">
        <v>0.0</v>
      </c>
      <c r="I381" s="7">
        <v>0.0</v>
      </c>
    </row>
    <row r="382" ht="15.75" customHeight="1">
      <c r="B382" s="7" t="s">
        <v>506</v>
      </c>
      <c r="D382" s="7">
        <v>700.0</v>
      </c>
      <c r="E382" s="7">
        <v>500.0</v>
      </c>
      <c r="F382" s="7">
        <v>200.0</v>
      </c>
    </row>
    <row r="383" ht="15.75" customHeight="1">
      <c r="D383" s="7" t="s">
        <v>65</v>
      </c>
      <c r="E383" s="7" t="s">
        <v>19</v>
      </c>
      <c r="F383" s="7" t="s">
        <v>20</v>
      </c>
    </row>
    <row r="384" ht="15.75" customHeight="1">
      <c r="B384" s="29"/>
      <c r="C384" s="29" t="s">
        <v>507</v>
      </c>
      <c r="D384" s="29">
        <v>2180.0</v>
      </c>
      <c r="E384" s="29">
        <v>1280.0</v>
      </c>
      <c r="F384" s="29">
        <v>900.0</v>
      </c>
      <c r="G384" s="29"/>
    </row>
    <row r="385" ht="15.75" customHeight="1"/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</row>
    <row r="387" ht="15.75" customHeight="1">
      <c r="A387" s="25">
        <v>45427.0</v>
      </c>
      <c r="B387" s="7" t="s">
        <v>190</v>
      </c>
      <c r="C387" s="7" t="s">
        <v>508</v>
      </c>
      <c r="D387" s="7">
        <v>150.0</v>
      </c>
      <c r="E387" s="7">
        <v>0.0</v>
      </c>
      <c r="F387" s="7">
        <v>150.0</v>
      </c>
      <c r="G387" s="7">
        <v>0.0</v>
      </c>
      <c r="H387" s="7">
        <v>0.0</v>
      </c>
      <c r="I387" s="7">
        <v>150.0</v>
      </c>
    </row>
    <row r="388" ht="15.75" customHeight="1">
      <c r="B388" s="7" t="s">
        <v>293</v>
      </c>
      <c r="C388" s="7" t="s">
        <v>509</v>
      </c>
      <c r="D388" s="7">
        <v>300.0</v>
      </c>
      <c r="E388" s="7">
        <v>0.0</v>
      </c>
      <c r="F388" s="7">
        <v>300.0</v>
      </c>
      <c r="G388" s="7">
        <v>0.0</v>
      </c>
      <c r="H388" s="7">
        <v>0.0</v>
      </c>
      <c r="I388" s="7">
        <v>300.0</v>
      </c>
    </row>
    <row r="389" ht="15.75" customHeight="1">
      <c r="B389" s="7" t="s">
        <v>510</v>
      </c>
      <c r="C389" s="7" t="s">
        <v>511</v>
      </c>
      <c r="D389" s="7">
        <v>0.0</v>
      </c>
      <c r="E389" s="7">
        <v>0.0</v>
      </c>
      <c r="F389" s="7">
        <v>350.0</v>
      </c>
    </row>
    <row r="390" ht="15.75" customHeight="1">
      <c r="D390" s="7">
        <f>SUM(D387:D389)</f>
        <v>450</v>
      </c>
      <c r="F390" s="7">
        <f>SUM(F387:F389)</f>
        <v>800</v>
      </c>
    </row>
    <row r="391" ht="15.75" customHeight="1">
      <c r="A391" s="20"/>
      <c r="B391" s="47" t="s">
        <v>512</v>
      </c>
      <c r="G391" s="20"/>
      <c r="H391" s="20"/>
      <c r="I391" s="20"/>
      <c r="J391" s="20"/>
    </row>
    <row r="392" ht="15.75" customHeight="1">
      <c r="A392" s="25">
        <v>45428.0</v>
      </c>
      <c r="B392" s="7" t="s">
        <v>513</v>
      </c>
      <c r="C392" s="7" t="s">
        <v>514</v>
      </c>
      <c r="D392" s="7">
        <v>300.0</v>
      </c>
      <c r="E392" s="7">
        <v>0.0</v>
      </c>
      <c r="F392" s="7">
        <v>300.0</v>
      </c>
      <c r="G392" s="7">
        <v>0.0</v>
      </c>
      <c r="H392" s="7">
        <v>0.0</v>
      </c>
      <c r="I392" s="7">
        <v>300.0</v>
      </c>
    </row>
    <row r="393" ht="15.75" customHeight="1">
      <c r="B393" s="7" t="s">
        <v>16</v>
      </c>
      <c r="C393" s="7" t="s">
        <v>515</v>
      </c>
      <c r="D393" s="7">
        <v>35.0</v>
      </c>
      <c r="E393" s="7">
        <v>35.0</v>
      </c>
      <c r="F393" s="7">
        <v>0.0</v>
      </c>
      <c r="G393" s="7">
        <v>0.0</v>
      </c>
      <c r="H393" s="7">
        <v>0.0</v>
      </c>
      <c r="I393" s="7">
        <v>35.0</v>
      </c>
    </row>
    <row r="394" ht="15.75" customHeight="1">
      <c r="B394" s="7" t="s">
        <v>516</v>
      </c>
      <c r="C394" s="7" t="s">
        <v>517</v>
      </c>
      <c r="D394" s="7">
        <v>375.0</v>
      </c>
      <c r="E394" s="7">
        <v>375.0</v>
      </c>
      <c r="F394" s="7">
        <v>0.0</v>
      </c>
      <c r="G394" s="7">
        <v>0.0</v>
      </c>
      <c r="H394" s="7">
        <v>0.0</v>
      </c>
      <c r="I394" s="7">
        <v>375.0</v>
      </c>
    </row>
    <row r="395" ht="15.75" customHeight="1">
      <c r="B395" s="7" t="s">
        <v>518</v>
      </c>
      <c r="C395" s="7" t="s">
        <v>519</v>
      </c>
      <c r="D395" s="7">
        <v>650.0</v>
      </c>
      <c r="E395" s="7">
        <v>650.0</v>
      </c>
      <c r="F395" s="7">
        <v>0.0</v>
      </c>
      <c r="G395" s="7">
        <v>0.0</v>
      </c>
      <c r="H395" s="7">
        <v>0.0</v>
      </c>
      <c r="I395" s="7">
        <v>650.0</v>
      </c>
    </row>
    <row r="396" ht="15.75" customHeight="1">
      <c r="B396" s="7" t="s">
        <v>520</v>
      </c>
      <c r="C396" s="7" t="s">
        <v>521</v>
      </c>
      <c r="D396" s="7">
        <v>150.0</v>
      </c>
      <c r="E396" s="7">
        <v>150.0</v>
      </c>
      <c r="F396" s="7">
        <v>0.0</v>
      </c>
      <c r="G396" s="7">
        <v>0.0</v>
      </c>
      <c r="H396" s="7">
        <v>0.0</v>
      </c>
      <c r="I396" s="7">
        <v>150.0</v>
      </c>
    </row>
    <row r="397" ht="15.75" customHeight="1">
      <c r="B397" s="7" t="s">
        <v>522</v>
      </c>
      <c r="C397" s="7" t="s">
        <v>523</v>
      </c>
      <c r="D397" s="7">
        <v>50.0</v>
      </c>
      <c r="E397" s="7">
        <v>0.0</v>
      </c>
      <c r="F397" s="7">
        <v>50.0</v>
      </c>
      <c r="G397" s="7">
        <v>0.0</v>
      </c>
      <c r="H397" s="7">
        <v>0.0</v>
      </c>
      <c r="I397" s="7">
        <v>50.0</v>
      </c>
    </row>
    <row r="398" ht="15.75" customHeight="1">
      <c r="D398" s="7">
        <f t="shared" ref="D398:I398" si="59">SUM(D392:D397)</f>
        <v>1560</v>
      </c>
      <c r="E398" s="7">
        <f t="shared" si="59"/>
        <v>1210</v>
      </c>
      <c r="F398" s="7">
        <f t="shared" si="59"/>
        <v>350</v>
      </c>
      <c r="G398" s="7">
        <f t="shared" si="59"/>
        <v>0</v>
      </c>
      <c r="H398" s="7">
        <f t="shared" si="59"/>
        <v>0</v>
      </c>
      <c r="I398" s="7">
        <f t="shared" si="59"/>
        <v>1560</v>
      </c>
    </row>
    <row r="399" ht="15.75" customHeight="1">
      <c r="D399" s="7" t="s">
        <v>25</v>
      </c>
      <c r="E399" s="7" t="s">
        <v>390</v>
      </c>
      <c r="F399" s="7" t="s">
        <v>524</v>
      </c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</row>
    <row r="401" ht="15.75" customHeight="1">
      <c r="A401" s="25">
        <v>45432.0</v>
      </c>
      <c r="B401" s="7" t="s">
        <v>525</v>
      </c>
      <c r="C401" s="7" t="s">
        <v>526</v>
      </c>
      <c r="D401" s="7">
        <v>1200.0</v>
      </c>
      <c r="E401" s="7">
        <v>0.0</v>
      </c>
      <c r="F401" s="7">
        <v>1250.0</v>
      </c>
      <c r="G401" s="7">
        <v>0.0</v>
      </c>
      <c r="H401" s="7">
        <v>0.0</v>
      </c>
      <c r="I401" s="7">
        <v>1250.0</v>
      </c>
    </row>
    <row r="402" ht="15.75" customHeight="1">
      <c r="B402" s="7" t="s">
        <v>527</v>
      </c>
      <c r="C402" s="7" t="s">
        <v>528</v>
      </c>
      <c r="D402" s="7">
        <v>1250.0</v>
      </c>
      <c r="E402" s="7">
        <v>0.0</v>
      </c>
      <c r="F402" s="7">
        <v>1250.0</v>
      </c>
      <c r="G402" s="7">
        <v>0.0</v>
      </c>
      <c r="H402" s="7">
        <v>0.0</v>
      </c>
      <c r="I402" s="7">
        <v>1250.0</v>
      </c>
    </row>
    <row r="403" ht="15.75" customHeight="1">
      <c r="D403" s="7">
        <v>2450.0</v>
      </c>
      <c r="E403" s="7">
        <v>0.0</v>
      </c>
      <c r="F403" s="7">
        <v>2450.0</v>
      </c>
      <c r="I403" s="7">
        <v>2450.0</v>
      </c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</row>
    <row r="405" ht="15.75" customHeight="1">
      <c r="A405" s="25">
        <v>45433.0</v>
      </c>
      <c r="B405" s="7" t="s">
        <v>529</v>
      </c>
      <c r="C405" s="7" t="s">
        <v>530</v>
      </c>
      <c r="D405" s="7">
        <v>300.0</v>
      </c>
      <c r="E405" s="7">
        <v>0.0</v>
      </c>
      <c r="F405" s="7">
        <v>300.0</v>
      </c>
      <c r="G405" s="7">
        <v>0.0</v>
      </c>
      <c r="H405" s="7">
        <v>0.0</v>
      </c>
      <c r="I405" s="7">
        <v>300.0</v>
      </c>
    </row>
    <row r="406" ht="15.75" customHeight="1">
      <c r="B406" s="7" t="s">
        <v>335</v>
      </c>
      <c r="C406" s="7" t="s">
        <v>531</v>
      </c>
      <c r="D406" s="7">
        <v>350.0</v>
      </c>
      <c r="E406" s="7">
        <v>0.0</v>
      </c>
      <c r="F406" s="7">
        <v>350.0</v>
      </c>
      <c r="G406" s="7">
        <v>0.0</v>
      </c>
      <c r="H406" s="7">
        <v>0.0</v>
      </c>
      <c r="I406" s="7">
        <v>350.0</v>
      </c>
    </row>
    <row r="407" ht="15.75" customHeight="1">
      <c r="B407" s="7"/>
      <c r="C407" s="7" t="s">
        <v>532</v>
      </c>
      <c r="D407" s="7">
        <v>35.0</v>
      </c>
      <c r="E407" s="7">
        <v>0.0</v>
      </c>
      <c r="F407" s="7">
        <v>35.0</v>
      </c>
      <c r="G407" s="7">
        <v>0.0</v>
      </c>
      <c r="H407" s="7">
        <v>0.0</v>
      </c>
      <c r="I407" s="7">
        <v>35.0</v>
      </c>
    </row>
    <row r="408" ht="15.75" customHeight="1">
      <c r="A408" s="39"/>
      <c r="B408" s="39"/>
      <c r="C408" s="39" t="s">
        <v>533</v>
      </c>
      <c r="D408" s="39">
        <f t="shared" ref="D408:F408" si="60">SUM(D405:D407)</f>
        <v>685</v>
      </c>
      <c r="E408" s="39">
        <f t="shared" si="60"/>
        <v>0</v>
      </c>
      <c r="F408" s="39">
        <f t="shared" si="60"/>
        <v>685</v>
      </c>
      <c r="G408" s="39"/>
      <c r="H408" s="39"/>
      <c r="I408" s="39">
        <f>SUM(I405:I407)</f>
        <v>685</v>
      </c>
      <c r="J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</row>
    <row r="410" ht="15.75" customHeight="1">
      <c r="A410" s="7" t="s">
        <v>534</v>
      </c>
      <c r="B410" s="7" t="s">
        <v>535</v>
      </c>
      <c r="C410" s="7" t="s">
        <v>536</v>
      </c>
      <c r="D410" s="7">
        <v>700.0</v>
      </c>
      <c r="E410" s="7">
        <v>0.0</v>
      </c>
      <c r="F410" s="7">
        <v>700.0</v>
      </c>
      <c r="G410" s="7">
        <v>0.0</v>
      </c>
      <c r="H410" s="7">
        <v>0.0</v>
      </c>
      <c r="I410" s="7">
        <v>700.0</v>
      </c>
    </row>
    <row r="411" ht="15.75" customHeight="1">
      <c r="B411" s="7" t="s">
        <v>537</v>
      </c>
      <c r="C411" s="7" t="s">
        <v>538</v>
      </c>
      <c r="D411" s="7">
        <v>700.0</v>
      </c>
      <c r="E411" s="7">
        <v>700.0</v>
      </c>
      <c r="F411" s="7">
        <v>0.0</v>
      </c>
      <c r="G411" s="7">
        <v>0.0</v>
      </c>
      <c r="H411" s="7">
        <v>0.0</v>
      </c>
      <c r="I411" s="7">
        <v>700.0</v>
      </c>
    </row>
    <row r="412" ht="15.75" customHeight="1">
      <c r="C412" s="7" t="s">
        <v>539</v>
      </c>
      <c r="D412" s="7">
        <f>SUM(D410:D411)</f>
        <v>1400</v>
      </c>
    </row>
    <row r="413" ht="15.75" customHeight="1">
      <c r="C413" s="7" t="s">
        <v>507</v>
      </c>
      <c r="D413" s="7" t="s">
        <v>540</v>
      </c>
      <c r="E413" s="7" t="s">
        <v>541</v>
      </c>
      <c r="F413" s="7" t="s">
        <v>542</v>
      </c>
    </row>
    <row r="414" ht="15.75" customHeight="1">
      <c r="A414" s="39"/>
      <c r="B414" s="39"/>
      <c r="C414" s="49">
        <v>45434.0</v>
      </c>
      <c r="G414" s="39"/>
      <c r="H414" s="39"/>
      <c r="I414" s="39"/>
      <c r="J414" s="39"/>
    </row>
    <row r="415" ht="15.75" customHeight="1">
      <c r="A415" s="25">
        <v>45434.0</v>
      </c>
      <c r="B415" s="7" t="s">
        <v>543</v>
      </c>
      <c r="C415" s="7" t="s">
        <v>544</v>
      </c>
      <c r="D415" s="7">
        <v>300.0</v>
      </c>
      <c r="E415" s="7">
        <v>0.0</v>
      </c>
      <c r="F415" s="7">
        <v>300.0</v>
      </c>
      <c r="I415" s="7">
        <v>300.0</v>
      </c>
    </row>
    <row r="416" ht="15.75" customHeight="1">
      <c r="B416" s="7" t="s">
        <v>109</v>
      </c>
      <c r="C416" s="7" t="s">
        <v>545</v>
      </c>
      <c r="D416" s="7">
        <v>450.0</v>
      </c>
      <c r="E416" s="7">
        <v>0.0</v>
      </c>
      <c r="F416" s="7">
        <v>450.0</v>
      </c>
      <c r="G416" s="7">
        <v>0.0</v>
      </c>
      <c r="H416" s="7">
        <v>0.0</v>
      </c>
      <c r="I416" s="7">
        <v>450.0</v>
      </c>
    </row>
    <row r="417" ht="15.75" customHeight="1">
      <c r="B417" s="7" t="s">
        <v>546</v>
      </c>
      <c r="C417" s="7" t="s">
        <v>547</v>
      </c>
      <c r="D417" s="7">
        <v>300.0</v>
      </c>
      <c r="E417" s="7">
        <v>0.0</v>
      </c>
      <c r="F417" s="7">
        <v>300.0</v>
      </c>
      <c r="I417" s="7">
        <v>300.0</v>
      </c>
    </row>
    <row r="418" ht="15.75" customHeight="1">
      <c r="B418" s="7" t="s">
        <v>487</v>
      </c>
      <c r="C418" s="7" t="s">
        <v>448</v>
      </c>
      <c r="D418" s="7">
        <v>350.0</v>
      </c>
      <c r="E418" s="7">
        <v>350.0</v>
      </c>
      <c r="F418" s="7">
        <v>0.0</v>
      </c>
      <c r="G418" s="7">
        <v>0.0</v>
      </c>
      <c r="H418" s="7">
        <v>0.0</v>
      </c>
      <c r="I418" s="7">
        <v>350.0</v>
      </c>
    </row>
    <row r="419" ht="15.75" customHeight="1">
      <c r="B419" s="7" t="s">
        <v>548</v>
      </c>
      <c r="C419" s="7" t="s">
        <v>549</v>
      </c>
      <c r="D419" s="7">
        <v>685.0</v>
      </c>
      <c r="E419" s="7">
        <v>0.0</v>
      </c>
      <c r="F419" s="7">
        <v>685.0</v>
      </c>
      <c r="I419" s="7">
        <v>685.0</v>
      </c>
    </row>
    <row r="420" ht="15.75" customHeight="1">
      <c r="D420" s="7">
        <f>SUM(D415:D419)</f>
        <v>2085</v>
      </c>
    </row>
    <row r="421" ht="15.75" customHeight="1">
      <c r="A421" s="39"/>
      <c r="B421" s="39"/>
      <c r="C421" s="39"/>
      <c r="D421" s="39"/>
      <c r="E421" s="39">
        <v>350.0</v>
      </c>
      <c r="F421" s="39">
        <f>SUM(F415:F420)</f>
        <v>1735</v>
      </c>
      <c r="G421" s="39"/>
      <c r="H421" s="39"/>
      <c r="I421" s="39">
        <f>SUM(I415:I420)</f>
        <v>2085</v>
      </c>
      <c r="J421" s="39"/>
    </row>
    <row r="422" ht="15.75" customHeight="1">
      <c r="A422" s="25"/>
      <c r="B422" s="7"/>
      <c r="D422" s="7" t="s">
        <v>119</v>
      </c>
      <c r="E422" s="7" t="s">
        <v>263</v>
      </c>
      <c r="F422" s="7" t="s">
        <v>550</v>
      </c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</row>
    <row r="424" ht="15.75" customHeight="1">
      <c r="A424" s="25">
        <v>45435.0</v>
      </c>
      <c r="B424" s="7" t="s">
        <v>207</v>
      </c>
      <c r="C424" s="7" t="s">
        <v>551</v>
      </c>
      <c r="D424" s="7">
        <v>500.0</v>
      </c>
      <c r="E424" s="7">
        <v>500.0</v>
      </c>
      <c r="F424" s="7">
        <v>0.0</v>
      </c>
      <c r="G424" s="7">
        <v>0.0</v>
      </c>
      <c r="H424" s="7">
        <v>0.0</v>
      </c>
      <c r="I424" s="7">
        <v>500.0</v>
      </c>
    </row>
    <row r="425" ht="15.75" customHeight="1">
      <c r="B425" s="7" t="s">
        <v>552</v>
      </c>
      <c r="C425" s="7" t="s">
        <v>553</v>
      </c>
      <c r="D425" s="7">
        <v>200.0</v>
      </c>
      <c r="E425" s="7">
        <v>200.0</v>
      </c>
      <c r="F425" s="7">
        <v>0.0</v>
      </c>
      <c r="G425" s="7">
        <v>0.0</v>
      </c>
      <c r="H425" s="7">
        <v>0.0</v>
      </c>
      <c r="I425" s="7">
        <v>200.0</v>
      </c>
    </row>
    <row r="426" ht="15.75" customHeight="1">
      <c r="B426" s="7" t="s">
        <v>554</v>
      </c>
      <c r="C426" s="7" t="s">
        <v>555</v>
      </c>
      <c r="D426" s="7">
        <v>300.0</v>
      </c>
      <c r="E426" s="7">
        <v>0.0</v>
      </c>
      <c r="F426" s="7">
        <v>300.0</v>
      </c>
      <c r="G426" s="7">
        <v>0.0</v>
      </c>
      <c r="H426" s="7">
        <v>0.0</v>
      </c>
      <c r="I426" s="7">
        <v>300.0</v>
      </c>
    </row>
    <row r="427" ht="15.75" customHeight="1">
      <c r="B427" s="7" t="s">
        <v>383</v>
      </c>
      <c r="C427" s="7" t="s">
        <v>556</v>
      </c>
      <c r="D427" s="7">
        <v>150.0</v>
      </c>
      <c r="E427" s="7">
        <v>0.0</v>
      </c>
      <c r="F427" s="7">
        <v>150.0</v>
      </c>
      <c r="G427" s="7">
        <v>0.0</v>
      </c>
      <c r="H427" s="7">
        <v>0.0</v>
      </c>
      <c r="I427" s="7">
        <v>150.0</v>
      </c>
    </row>
    <row r="428" ht="15.75" customHeight="1">
      <c r="B428" s="7" t="s">
        <v>557</v>
      </c>
      <c r="C428" s="7" t="s">
        <v>558</v>
      </c>
      <c r="D428" s="7">
        <v>450.0</v>
      </c>
      <c r="E428" s="7">
        <v>450.0</v>
      </c>
      <c r="F428" s="7">
        <v>0.0</v>
      </c>
      <c r="G428" s="7">
        <v>0.0</v>
      </c>
      <c r="H428" s="7">
        <v>0.0</v>
      </c>
      <c r="I428" s="7">
        <v>150.0</v>
      </c>
    </row>
    <row r="429" ht="15.75" customHeight="1"/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</row>
    <row r="431" ht="15.75" customHeight="1">
      <c r="A431" s="20"/>
      <c r="B431" s="50">
        <v>45439.0</v>
      </c>
      <c r="G431" s="20"/>
      <c r="H431" s="20"/>
      <c r="I431" s="20"/>
      <c r="J431" s="20"/>
    </row>
    <row r="432" ht="15.75" customHeight="1">
      <c r="A432" s="25">
        <v>45439.0</v>
      </c>
      <c r="B432" s="7" t="s">
        <v>96</v>
      </c>
      <c r="C432" s="7" t="s">
        <v>559</v>
      </c>
      <c r="D432" s="7">
        <v>300.0</v>
      </c>
      <c r="E432" s="7">
        <v>300.0</v>
      </c>
      <c r="F432" s="7">
        <v>0.0</v>
      </c>
      <c r="G432" s="7">
        <v>0.0</v>
      </c>
      <c r="H432" s="7">
        <v>0.0</v>
      </c>
      <c r="I432" s="7">
        <v>300.0</v>
      </c>
    </row>
    <row r="433" ht="15.75" customHeight="1">
      <c r="B433" s="7" t="s">
        <v>400</v>
      </c>
      <c r="C433" s="7" t="s">
        <v>560</v>
      </c>
      <c r="D433" s="7">
        <v>300.0</v>
      </c>
      <c r="E433" s="7">
        <v>0.0</v>
      </c>
      <c r="F433" s="7">
        <v>300.0</v>
      </c>
      <c r="G433" s="7">
        <v>0.0</v>
      </c>
      <c r="H433" s="7">
        <v>0.0</v>
      </c>
      <c r="I433" s="7">
        <v>300.0</v>
      </c>
    </row>
    <row r="434" ht="15.75" customHeight="1">
      <c r="B434" s="7" t="s">
        <v>561</v>
      </c>
      <c r="C434" s="7" t="s">
        <v>562</v>
      </c>
      <c r="D434" s="7">
        <v>140.0</v>
      </c>
      <c r="E434" s="7">
        <v>0.0</v>
      </c>
      <c r="F434" s="7">
        <v>140.0</v>
      </c>
      <c r="G434" s="7">
        <v>0.0</v>
      </c>
      <c r="H434" s="7">
        <v>0.0</v>
      </c>
      <c r="I434" s="7">
        <v>140.0</v>
      </c>
    </row>
    <row r="435" ht="15.75" customHeight="1">
      <c r="B435" s="7" t="s">
        <v>563</v>
      </c>
      <c r="C435" s="7" t="s">
        <v>564</v>
      </c>
      <c r="D435" s="7">
        <v>200.0</v>
      </c>
      <c r="E435" s="7">
        <v>0.0</v>
      </c>
      <c r="F435" s="7">
        <v>200.0</v>
      </c>
      <c r="G435" s="7">
        <v>0.0</v>
      </c>
      <c r="H435" s="7">
        <v>0.0</v>
      </c>
      <c r="I435" s="7">
        <v>200.0</v>
      </c>
    </row>
    <row r="436" ht="15.75" customHeight="1">
      <c r="B436" s="7" t="s">
        <v>565</v>
      </c>
      <c r="C436" s="7" t="s">
        <v>566</v>
      </c>
      <c r="D436" s="7">
        <v>400.0</v>
      </c>
      <c r="E436" s="7">
        <v>200.0</v>
      </c>
      <c r="F436" s="7">
        <v>200.0</v>
      </c>
      <c r="G436" s="7">
        <v>0.0</v>
      </c>
      <c r="H436" s="7">
        <v>0.0</v>
      </c>
      <c r="I436" s="7">
        <v>400.0</v>
      </c>
    </row>
    <row r="437" ht="15.75" customHeight="1">
      <c r="B437" s="7" t="s">
        <v>567</v>
      </c>
      <c r="C437" s="7" t="s">
        <v>568</v>
      </c>
      <c r="D437" s="7">
        <v>700.0</v>
      </c>
      <c r="E437" s="7">
        <v>0.0</v>
      </c>
      <c r="F437" s="7">
        <v>700.0</v>
      </c>
      <c r="G437" s="7">
        <v>0.0</v>
      </c>
      <c r="H437" s="7">
        <v>0.0</v>
      </c>
      <c r="I437" s="7">
        <v>700.0</v>
      </c>
    </row>
    <row r="438" ht="15.75" customHeight="1">
      <c r="B438" s="7" t="s">
        <v>569</v>
      </c>
      <c r="C438" s="7" t="s">
        <v>570</v>
      </c>
      <c r="D438" s="7">
        <v>300.0</v>
      </c>
      <c r="E438" s="7">
        <v>300.0</v>
      </c>
      <c r="F438" s="7">
        <v>0.0</v>
      </c>
      <c r="G438" s="7">
        <v>0.0</v>
      </c>
      <c r="H438" s="7">
        <v>0.0</v>
      </c>
      <c r="I438" s="7">
        <v>350.0</v>
      </c>
    </row>
    <row r="439" ht="15.75" customHeight="1">
      <c r="D439" s="7">
        <f t="shared" ref="D439:F439" si="61">SUM(D432:D438)</f>
        <v>2340</v>
      </c>
      <c r="E439" s="7">
        <f t="shared" si="61"/>
        <v>800</v>
      </c>
      <c r="F439" s="7">
        <f t="shared" si="61"/>
        <v>1540</v>
      </c>
      <c r="I439" s="7">
        <f>SUM(I432:I438)</f>
        <v>2390</v>
      </c>
    </row>
    <row r="440" ht="15.75" customHeight="1">
      <c r="D440" s="7" t="s">
        <v>65</v>
      </c>
      <c r="E440" s="7" t="s">
        <v>19</v>
      </c>
      <c r="F440" s="7" t="s">
        <v>571</v>
      </c>
    </row>
    <row r="441" ht="15.75" customHeight="1">
      <c r="A441" s="19"/>
      <c r="B441" s="19"/>
      <c r="C441" s="51">
        <v>45440.0</v>
      </c>
      <c r="G441" s="19"/>
      <c r="H441" s="19"/>
      <c r="I441" s="19"/>
      <c r="J441" s="19"/>
    </row>
    <row r="442" ht="15.75" customHeight="1">
      <c r="A442" s="25">
        <v>45440.0</v>
      </c>
      <c r="B442" s="23" t="s">
        <v>470</v>
      </c>
      <c r="C442" s="7" t="s">
        <v>572</v>
      </c>
      <c r="D442" s="7">
        <v>250.0</v>
      </c>
      <c r="E442" s="7">
        <v>250.0</v>
      </c>
      <c r="F442" s="7">
        <v>0.0</v>
      </c>
      <c r="G442" s="7">
        <v>0.0</v>
      </c>
      <c r="H442" s="7">
        <v>0.0</v>
      </c>
      <c r="I442" s="7">
        <v>250.0</v>
      </c>
    </row>
    <row r="443" ht="15.75" customHeight="1">
      <c r="B443" s="7" t="s">
        <v>573</v>
      </c>
      <c r="C443" s="7" t="s">
        <v>574</v>
      </c>
      <c r="D443" s="7">
        <v>450.0</v>
      </c>
      <c r="E443" s="7">
        <v>450.0</v>
      </c>
      <c r="F443" s="7">
        <v>0.0</v>
      </c>
      <c r="G443" s="7">
        <v>0.0</v>
      </c>
      <c r="H443" s="7">
        <v>0.0</v>
      </c>
      <c r="I443" s="7">
        <v>0.0</v>
      </c>
    </row>
    <row r="444" ht="15.75" customHeight="1">
      <c r="D444" s="7">
        <f t="shared" ref="D444:F444" si="62">SUM(D442:D443)</f>
        <v>700</v>
      </c>
      <c r="E444" s="7">
        <f t="shared" si="62"/>
        <v>700</v>
      </c>
      <c r="F444" s="7">
        <f t="shared" si="62"/>
        <v>0</v>
      </c>
    </row>
    <row r="445" ht="15.75" customHeight="1">
      <c r="D445" s="7" t="s">
        <v>65</v>
      </c>
      <c r="E445" s="7" t="s">
        <v>19</v>
      </c>
    </row>
    <row r="446" ht="15.75" customHeight="1">
      <c r="D446" s="7"/>
      <c r="E446" s="7"/>
    </row>
    <row r="447" ht="15.75" customHeight="1">
      <c r="A447" s="19"/>
      <c r="B447" s="51">
        <f>SUM(E:E)</f>
        <v>95417.84</v>
      </c>
      <c r="G447" s="19"/>
      <c r="H447" s="19"/>
      <c r="I447" s="19"/>
      <c r="J447" s="19"/>
    </row>
    <row r="448" ht="15.75" customHeight="1">
      <c r="A448" s="25">
        <v>45441.0</v>
      </c>
      <c r="B448" s="7" t="s">
        <v>575</v>
      </c>
      <c r="C448" s="7" t="s">
        <v>576</v>
      </c>
      <c r="D448" s="7">
        <v>200.0</v>
      </c>
      <c r="E448" s="7">
        <v>0.0</v>
      </c>
      <c r="F448" s="7">
        <v>200.0</v>
      </c>
      <c r="G448" s="7">
        <v>0.0</v>
      </c>
      <c r="H448" s="7">
        <v>0.0</v>
      </c>
      <c r="I448" s="7">
        <v>200.0</v>
      </c>
    </row>
    <row r="449" ht="15.75" customHeight="1">
      <c r="B449" s="7" t="s">
        <v>485</v>
      </c>
      <c r="C449" s="7" t="s">
        <v>577</v>
      </c>
      <c r="D449" s="7">
        <v>350.0</v>
      </c>
      <c r="E449" s="7">
        <v>0.0</v>
      </c>
      <c r="F449" s="7">
        <v>350.0</v>
      </c>
      <c r="G449" s="7">
        <v>0.0</v>
      </c>
      <c r="H449" s="7">
        <v>0.0</v>
      </c>
      <c r="I449" s="7">
        <v>350.0</v>
      </c>
    </row>
    <row r="450" ht="15.75" customHeight="1">
      <c r="B450" s="7" t="s">
        <v>578</v>
      </c>
      <c r="C450" s="7" t="s">
        <v>579</v>
      </c>
      <c r="D450" s="7">
        <v>400.0</v>
      </c>
      <c r="E450" s="7">
        <v>0.0</v>
      </c>
      <c r="F450" s="7">
        <v>400.0</v>
      </c>
      <c r="G450" s="7">
        <v>0.0</v>
      </c>
      <c r="H450" s="7">
        <v>0.0</v>
      </c>
      <c r="I450" s="7">
        <v>400.0</v>
      </c>
    </row>
    <row r="451" ht="15.75" customHeight="1">
      <c r="B451" s="7" t="s">
        <v>196</v>
      </c>
      <c r="C451" s="7" t="s">
        <v>580</v>
      </c>
      <c r="D451" s="7">
        <v>300.0</v>
      </c>
      <c r="E451" s="7">
        <v>300.0</v>
      </c>
      <c r="F451" s="7">
        <v>0.0</v>
      </c>
      <c r="G451" s="7">
        <v>0.0</v>
      </c>
      <c r="H451" s="7">
        <v>0.0</v>
      </c>
      <c r="I451" s="7">
        <v>300.0</v>
      </c>
    </row>
    <row r="452" ht="15.75" customHeight="1">
      <c r="B452" s="7" t="s">
        <v>581</v>
      </c>
      <c r="C452" s="7" t="s">
        <v>413</v>
      </c>
      <c r="D452" s="7">
        <v>300.0</v>
      </c>
      <c r="E452" s="7">
        <v>300.0</v>
      </c>
      <c r="F452" s="7">
        <v>0.0</v>
      </c>
      <c r="G452" s="7">
        <v>0.0</v>
      </c>
      <c r="H452" s="7">
        <v>0.0</v>
      </c>
      <c r="I452" s="7">
        <v>300.0</v>
      </c>
    </row>
    <row r="453" ht="15.75" customHeight="1">
      <c r="B453" s="7" t="s">
        <v>582</v>
      </c>
      <c r="C453" s="7" t="s">
        <v>583</v>
      </c>
      <c r="D453" s="7">
        <v>300.0</v>
      </c>
      <c r="E453" s="7">
        <v>0.0</v>
      </c>
      <c r="F453" s="7">
        <v>0.0</v>
      </c>
      <c r="G453" s="7">
        <v>300.0</v>
      </c>
      <c r="H453" s="7">
        <v>0.0</v>
      </c>
      <c r="I453" s="7">
        <v>300.0</v>
      </c>
    </row>
    <row r="454" ht="15.75" customHeight="1">
      <c r="B454" s="7" t="s">
        <v>584</v>
      </c>
      <c r="C454" s="7" t="s">
        <v>585</v>
      </c>
      <c r="D454" s="7">
        <v>400.0</v>
      </c>
      <c r="E454" s="7">
        <v>400.0</v>
      </c>
      <c r="F454" s="7">
        <v>0.0</v>
      </c>
      <c r="G454" s="7">
        <v>0.0</v>
      </c>
      <c r="H454" s="7">
        <v>0.0</v>
      </c>
      <c r="I454" s="7">
        <v>400.0</v>
      </c>
    </row>
    <row r="455" ht="15.75" customHeight="1">
      <c r="B455" s="7" t="s">
        <v>133</v>
      </c>
      <c r="C455" s="7" t="s">
        <v>586</v>
      </c>
      <c r="D455" s="7">
        <v>300.0</v>
      </c>
      <c r="G455" s="7">
        <v>0.0</v>
      </c>
      <c r="H455" s="7">
        <v>0.0</v>
      </c>
      <c r="I455" s="7">
        <v>300.0</v>
      </c>
    </row>
    <row r="456" ht="15.75" customHeight="1">
      <c r="B456" s="7" t="s">
        <v>587</v>
      </c>
      <c r="C456" s="7" t="s">
        <v>588</v>
      </c>
      <c r="D456" s="7">
        <v>250.0</v>
      </c>
      <c r="G456" s="7">
        <v>0.0</v>
      </c>
      <c r="H456" s="7">
        <v>0.0</v>
      </c>
      <c r="I456" s="7">
        <v>250.0</v>
      </c>
    </row>
    <row r="457" ht="15.75" customHeight="1">
      <c r="D457" s="36">
        <f>SUM(D448:D456)</f>
        <v>2800</v>
      </c>
      <c r="E457" s="36">
        <v>1000.0</v>
      </c>
      <c r="F457" s="36">
        <v>1500.0</v>
      </c>
      <c r="G457" s="36">
        <v>300.0</v>
      </c>
    </row>
    <row r="458" ht="15.75" customHeight="1">
      <c r="A458" s="39"/>
      <c r="B458" s="39"/>
      <c r="C458" s="52">
        <v>45441.0</v>
      </c>
      <c r="D458" s="36" t="s">
        <v>119</v>
      </c>
      <c r="E458" s="36" t="s">
        <v>589</v>
      </c>
      <c r="F458" s="36" t="s">
        <v>154</v>
      </c>
      <c r="G458" s="36" t="s">
        <v>14</v>
      </c>
    </row>
    <row r="459" ht="15.75" customHeight="1">
      <c r="A459" s="25">
        <v>45442.0</v>
      </c>
    </row>
    <row r="460" ht="15.75" customHeight="1">
      <c r="B460" s="7" t="s">
        <v>590</v>
      </c>
      <c r="C460" s="7" t="s">
        <v>591</v>
      </c>
      <c r="D460" s="7">
        <v>300.0</v>
      </c>
      <c r="F460" s="7">
        <v>300.0</v>
      </c>
    </row>
    <row r="461" ht="15.75" customHeight="1">
      <c r="B461" s="7" t="s">
        <v>590</v>
      </c>
      <c r="C461" s="7" t="s">
        <v>592</v>
      </c>
      <c r="D461" s="7">
        <v>300.0</v>
      </c>
      <c r="E461" s="7">
        <v>300.0</v>
      </c>
    </row>
    <row r="462" ht="15.75" customHeight="1">
      <c r="B462" s="53" t="s">
        <v>593</v>
      </c>
      <c r="C462" s="7" t="s">
        <v>594</v>
      </c>
      <c r="D462" s="7">
        <v>300.0</v>
      </c>
      <c r="E462" s="7">
        <v>300.0</v>
      </c>
    </row>
    <row r="463" ht="15.75" customHeight="1">
      <c r="B463" s="54" t="s">
        <v>595</v>
      </c>
      <c r="C463" s="7" t="s">
        <v>596</v>
      </c>
      <c r="D463" s="7">
        <v>150.0</v>
      </c>
      <c r="E463" s="7">
        <v>150.0</v>
      </c>
    </row>
    <row r="464" ht="15.75" customHeight="1">
      <c r="B464" s="7" t="s">
        <v>597</v>
      </c>
      <c r="C464" s="7" t="s">
        <v>592</v>
      </c>
      <c r="D464" s="7">
        <v>300.0</v>
      </c>
      <c r="E464" s="7">
        <v>300.0</v>
      </c>
    </row>
    <row r="465" ht="15.75" customHeight="1">
      <c r="D465" s="7">
        <f>SUM(D460:D464)</f>
        <v>1350</v>
      </c>
      <c r="E465" s="7">
        <f>SUM(E461:E464)</f>
        <v>1050</v>
      </c>
      <c r="F465" s="7">
        <f>SUM(F460:F464)</f>
        <v>300</v>
      </c>
    </row>
    <row r="466" ht="15.75" customHeight="1">
      <c r="A466" s="19"/>
      <c r="B466" s="19"/>
      <c r="C466" s="55">
        <v>45443.0</v>
      </c>
      <c r="D466" s="19"/>
      <c r="E466" s="19"/>
      <c r="F466" s="19"/>
      <c r="G466" s="19"/>
      <c r="H466" s="19"/>
      <c r="I466" s="19"/>
      <c r="J466" s="19"/>
    </row>
    <row r="467" ht="15.75" customHeight="1">
      <c r="A467" s="7" t="s">
        <v>598</v>
      </c>
      <c r="B467" s="7" t="s">
        <v>599</v>
      </c>
      <c r="C467" s="7" t="s">
        <v>600</v>
      </c>
      <c r="D467" s="7">
        <v>350.0</v>
      </c>
      <c r="E467" s="7">
        <v>0.0</v>
      </c>
      <c r="F467" s="7">
        <v>350.0</v>
      </c>
      <c r="G467" s="7">
        <v>0.0</v>
      </c>
      <c r="H467" s="7">
        <v>0.0</v>
      </c>
      <c r="I467" s="7">
        <v>350.0</v>
      </c>
    </row>
    <row r="468" ht="15.75" customHeight="1">
      <c r="B468" s="7" t="s">
        <v>601</v>
      </c>
      <c r="C468" s="7" t="s">
        <v>602</v>
      </c>
      <c r="D468" s="7">
        <v>600.0</v>
      </c>
      <c r="E468" s="7">
        <v>500.0</v>
      </c>
      <c r="F468" s="7">
        <v>100.0</v>
      </c>
      <c r="G468" s="7">
        <v>0.0</v>
      </c>
      <c r="H468" s="7">
        <v>0.0</v>
      </c>
      <c r="I468" s="7">
        <v>100.0</v>
      </c>
    </row>
    <row r="469" ht="15.75" customHeight="1">
      <c r="B469" s="7" t="s">
        <v>603</v>
      </c>
      <c r="C469" s="7" t="s">
        <v>604</v>
      </c>
      <c r="D469" s="7">
        <v>1500.0</v>
      </c>
      <c r="E469" s="7">
        <v>0.0</v>
      </c>
      <c r="F469" s="7">
        <v>0.0</v>
      </c>
      <c r="G469" s="7">
        <v>1500.0</v>
      </c>
      <c r="H469" s="7">
        <v>0.0</v>
      </c>
      <c r="I469" s="7">
        <v>1500.0</v>
      </c>
    </row>
    <row r="470" ht="15.75" customHeight="1">
      <c r="D470" s="37">
        <f t="shared" ref="D470:F470" si="63">SUM(D467:D469)</f>
        <v>2450</v>
      </c>
      <c r="E470" s="37">
        <f t="shared" si="63"/>
        <v>500</v>
      </c>
      <c r="F470" s="37">
        <f t="shared" si="63"/>
        <v>450</v>
      </c>
    </row>
    <row r="471" ht="15.75" customHeight="1">
      <c r="A471" s="39"/>
      <c r="B471" s="39"/>
      <c r="C471" s="56">
        <v>45443.0</v>
      </c>
      <c r="D471" s="37" t="s">
        <v>25</v>
      </c>
      <c r="E471" s="37" t="s">
        <v>3</v>
      </c>
      <c r="F471" s="37" t="s">
        <v>4</v>
      </c>
    </row>
    <row r="472" ht="15.75" customHeight="1">
      <c r="A472" s="57">
        <v>45566.0</v>
      </c>
      <c r="B472" s="7" t="s">
        <v>605</v>
      </c>
      <c r="C472" s="7" t="s">
        <v>606</v>
      </c>
      <c r="D472" s="7">
        <v>750.0</v>
      </c>
      <c r="E472" s="7">
        <v>0.0</v>
      </c>
      <c r="F472" s="7">
        <v>750.0</v>
      </c>
      <c r="G472" s="7">
        <v>0.0</v>
      </c>
      <c r="H472" s="7">
        <v>0.0</v>
      </c>
      <c r="I472" s="7">
        <v>750.0</v>
      </c>
      <c r="J472" s="7">
        <v>0.0</v>
      </c>
    </row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325:O325"/>
    <mergeCell ref="B391:F391"/>
    <mergeCell ref="C414:F414"/>
    <mergeCell ref="B431:F431"/>
    <mergeCell ref="C441:F441"/>
    <mergeCell ref="B447:F447"/>
    <mergeCell ref="A1:J1"/>
    <mergeCell ref="U3:X3"/>
    <mergeCell ref="K11:N11"/>
    <mergeCell ref="P11:S11"/>
    <mergeCell ref="A71:I71"/>
    <mergeCell ref="K71:N71"/>
    <mergeCell ref="K176:O17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88"/>
    <col customWidth="1" min="3" max="3" width="60.38"/>
    <col customWidth="1" min="4" max="6" width="12.63"/>
  </cols>
  <sheetData>
    <row r="1" ht="15.75" customHeight="1">
      <c r="A1" s="26">
        <v>45446.0</v>
      </c>
      <c r="J1" s="20"/>
      <c r="K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ht="15.75" customHeight="1">
      <c r="A3" s="20"/>
      <c r="B3" s="5" t="s">
        <v>0</v>
      </c>
      <c r="C3" s="5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L3" s="28" t="s">
        <v>607</v>
      </c>
    </row>
    <row r="4" ht="15.75" customHeight="1">
      <c r="A4" s="8">
        <v>45446.0</v>
      </c>
      <c r="B4" s="7" t="s">
        <v>608</v>
      </c>
      <c r="C4" s="7" t="s">
        <v>609</v>
      </c>
      <c r="D4" s="7">
        <v>1350.0</v>
      </c>
      <c r="E4" s="7">
        <v>0.0</v>
      </c>
      <c r="F4" s="7">
        <v>0.0</v>
      </c>
      <c r="G4" s="7">
        <v>1350.0</v>
      </c>
      <c r="H4" s="7">
        <v>0.0</v>
      </c>
      <c r="I4" s="7">
        <v>1350.0</v>
      </c>
    </row>
    <row r="5" ht="15.75" customHeight="1">
      <c r="B5" s="7" t="s">
        <v>610</v>
      </c>
      <c r="C5" s="7" t="s">
        <v>611</v>
      </c>
      <c r="D5" s="7">
        <v>300.0</v>
      </c>
      <c r="E5" s="7">
        <v>300.0</v>
      </c>
      <c r="F5" s="7">
        <v>0.0</v>
      </c>
      <c r="G5" s="7">
        <v>0.0</v>
      </c>
      <c r="H5" s="7">
        <v>0.0</v>
      </c>
      <c r="I5" s="7">
        <v>1500.0</v>
      </c>
      <c r="L5" s="7" t="s">
        <v>13</v>
      </c>
      <c r="M5" s="7" t="s">
        <v>10</v>
      </c>
      <c r="N5" s="7" t="s">
        <v>11</v>
      </c>
      <c r="O5" s="7" t="s">
        <v>14</v>
      </c>
    </row>
    <row r="6" ht="15.75" customHeight="1">
      <c r="B6" s="7" t="s">
        <v>612</v>
      </c>
      <c r="C6" s="7" t="s">
        <v>613</v>
      </c>
      <c r="D6" s="7">
        <v>3000.0</v>
      </c>
      <c r="E6" s="7">
        <v>0.0</v>
      </c>
      <c r="F6" s="7">
        <v>0.0</v>
      </c>
      <c r="G6" s="7">
        <v>3000.0</v>
      </c>
      <c r="H6" s="7">
        <v>0.0</v>
      </c>
      <c r="I6" s="7">
        <v>3000.0</v>
      </c>
      <c r="L6" s="7">
        <v>4650.0</v>
      </c>
      <c r="M6" s="7">
        <v>900.0</v>
      </c>
      <c r="O6" s="7">
        <v>4350.0</v>
      </c>
    </row>
    <row r="7" ht="15.75" customHeight="1">
      <c r="A7" s="12" t="s">
        <v>119</v>
      </c>
      <c r="B7" s="13"/>
      <c r="C7" s="13"/>
      <c r="D7" s="13">
        <f t="shared" ref="D7:E7" si="1">SUM(D4:D6)</f>
        <v>4650</v>
      </c>
      <c r="E7" s="13">
        <f t="shared" si="1"/>
        <v>300</v>
      </c>
      <c r="F7" s="13">
        <v>0.0</v>
      </c>
      <c r="G7" s="13"/>
      <c r="H7" s="13"/>
      <c r="I7" s="13"/>
      <c r="J7" s="13"/>
      <c r="K7" s="7"/>
      <c r="L7" s="7">
        <v>2260.0</v>
      </c>
      <c r="M7" s="7">
        <v>300.0</v>
      </c>
      <c r="N7" s="7">
        <v>710.0</v>
      </c>
      <c r="O7" s="7">
        <v>1250.0</v>
      </c>
    </row>
    <row r="8" ht="15.75" customHeight="1">
      <c r="A8" s="58"/>
      <c r="B8" s="31"/>
      <c r="C8" s="31"/>
      <c r="D8" s="31"/>
      <c r="E8" s="31"/>
      <c r="F8" s="31"/>
      <c r="G8" s="31"/>
      <c r="H8" s="31"/>
      <c r="I8" s="31"/>
      <c r="J8" s="31"/>
      <c r="K8" s="31"/>
      <c r="L8" s="7">
        <v>2420.0</v>
      </c>
      <c r="M8" s="7">
        <v>1520.0</v>
      </c>
      <c r="N8" s="7">
        <v>300.0</v>
      </c>
      <c r="O8" s="7">
        <v>600.0</v>
      </c>
    </row>
    <row r="9" ht="15.75" customHeight="1">
      <c r="A9" s="39"/>
      <c r="B9" s="39"/>
      <c r="C9" s="59">
        <v>45447.0</v>
      </c>
      <c r="F9" s="39"/>
      <c r="G9" s="39"/>
      <c r="H9" s="39"/>
      <c r="I9" s="39"/>
      <c r="J9" s="39"/>
      <c r="L9" s="7">
        <v>1645.0</v>
      </c>
      <c r="M9" s="7">
        <v>1400.0</v>
      </c>
      <c r="N9" s="7">
        <v>245.0</v>
      </c>
      <c r="O9" s="7">
        <v>0.0</v>
      </c>
    </row>
    <row r="10" ht="15.75" customHeight="1">
      <c r="A10" s="60">
        <v>45447.0</v>
      </c>
      <c r="B10" s="7" t="s">
        <v>614</v>
      </c>
      <c r="C10" s="7" t="s">
        <v>615</v>
      </c>
      <c r="D10" s="7">
        <v>1250.0</v>
      </c>
      <c r="E10" s="7">
        <v>0.0</v>
      </c>
      <c r="F10" s="7">
        <v>0.0</v>
      </c>
      <c r="G10" s="7">
        <v>1250.0</v>
      </c>
      <c r="H10" s="7">
        <v>0.0</v>
      </c>
      <c r="I10" s="7">
        <v>1250.0</v>
      </c>
      <c r="L10" s="7">
        <v>2150.0</v>
      </c>
      <c r="M10" s="7">
        <v>2150.0</v>
      </c>
      <c r="N10" s="7">
        <v>0.0</v>
      </c>
      <c r="O10" s="7">
        <v>0.0</v>
      </c>
    </row>
    <row r="11" ht="15.75" customHeight="1">
      <c r="B11" s="7" t="s">
        <v>616</v>
      </c>
      <c r="C11" s="7" t="s">
        <v>617</v>
      </c>
      <c r="D11" s="7">
        <v>300.0</v>
      </c>
      <c r="E11" s="7">
        <v>300.0</v>
      </c>
      <c r="F11" s="7">
        <v>0.0</v>
      </c>
      <c r="G11" s="7">
        <v>0.0</v>
      </c>
      <c r="H11" s="7">
        <v>0.0</v>
      </c>
      <c r="I11" s="7">
        <v>300.0</v>
      </c>
      <c r="L11" s="7">
        <v>850.0</v>
      </c>
      <c r="M11" s="7">
        <v>450.0</v>
      </c>
      <c r="N11" s="7">
        <v>400.0</v>
      </c>
      <c r="O11" s="7">
        <v>0.0</v>
      </c>
    </row>
    <row r="12" ht="15.75" customHeight="1">
      <c r="B12" s="7" t="s">
        <v>618</v>
      </c>
      <c r="C12" s="7" t="s">
        <v>619</v>
      </c>
      <c r="D12" s="7">
        <v>500.0</v>
      </c>
      <c r="E12" s="7">
        <v>0.0</v>
      </c>
      <c r="F12" s="7">
        <v>500.0</v>
      </c>
      <c r="G12" s="7">
        <v>0.0</v>
      </c>
      <c r="H12" s="7">
        <v>0.0</v>
      </c>
      <c r="I12" s="7">
        <v>500.0</v>
      </c>
      <c r="L12" s="7">
        <v>3050.0</v>
      </c>
      <c r="M12" s="7">
        <v>2150.0</v>
      </c>
      <c r="N12" s="7">
        <v>900.0</v>
      </c>
      <c r="O12" s="7">
        <v>0.0</v>
      </c>
    </row>
    <row r="13" ht="15.75" customHeight="1">
      <c r="B13" s="7" t="s">
        <v>209</v>
      </c>
      <c r="C13" s="7" t="s">
        <v>620</v>
      </c>
      <c r="D13" s="7">
        <v>210.0</v>
      </c>
      <c r="E13" s="7">
        <v>0.0</v>
      </c>
      <c r="F13" s="7">
        <v>210.0</v>
      </c>
      <c r="G13" s="7">
        <v>0.0</v>
      </c>
      <c r="H13" s="7">
        <v>0.0</v>
      </c>
      <c r="I13" s="7">
        <v>210.0</v>
      </c>
      <c r="L13" s="7">
        <v>1400.0</v>
      </c>
      <c r="M13" s="7">
        <v>500.0</v>
      </c>
      <c r="N13" s="7">
        <v>900.0</v>
      </c>
      <c r="O13" s="7">
        <v>0.0</v>
      </c>
    </row>
    <row r="14" ht="15.75" customHeight="1">
      <c r="C14" s="19" t="s">
        <v>621</v>
      </c>
      <c r="D14" s="19">
        <f t="shared" ref="D14:G14" si="2">SUM(D10:D13)</f>
        <v>2260</v>
      </c>
      <c r="E14" s="19">
        <f t="shared" si="2"/>
        <v>300</v>
      </c>
      <c r="F14" s="19">
        <f t="shared" si="2"/>
        <v>710</v>
      </c>
      <c r="G14" s="19">
        <f t="shared" si="2"/>
        <v>1250</v>
      </c>
      <c r="H14" s="7">
        <v>0.0</v>
      </c>
      <c r="I14" s="7">
        <f>SUM(I10:I13)</f>
        <v>2260</v>
      </c>
      <c r="L14" s="7">
        <v>5350.0</v>
      </c>
      <c r="M14" s="7">
        <v>5350.0</v>
      </c>
      <c r="N14" s="7">
        <v>0.0</v>
      </c>
      <c r="O14" s="7">
        <v>0.0</v>
      </c>
    </row>
    <row r="15" ht="15.75" customHeight="1">
      <c r="C15" s="31"/>
      <c r="D15" s="19" t="s">
        <v>119</v>
      </c>
      <c r="E15" s="19" t="s">
        <v>263</v>
      </c>
      <c r="F15" s="19" t="s">
        <v>264</v>
      </c>
      <c r="G15" s="19" t="s">
        <v>622</v>
      </c>
      <c r="L15" s="7">
        <v>1985.0</v>
      </c>
      <c r="M15" s="7">
        <v>1700.0</v>
      </c>
      <c r="N15" s="7">
        <v>435.0</v>
      </c>
      <c r="O15" s="7">
        <v>0.0</v>
      </c>
    </row>
    <row r="16" ht="15.75" customHeight="1">
      <c r="A16" s="39"/>
      <c r="B16" s="39"/>
      <c r="C16" s="61" t="s">
        <v>623</v>
      </c>
      <c r="H16" s="39"/>
      <c r="I16" s="39"/>
      <c r="J16" s="39"/>
      <c r="L16" s="7">
        <v>2640.0</v>
      </c>
      <c r="M16" s="7">
        <v>1390.0</v>
      </c>
      <c r="N16" s="7">
        <v>1250.0</v>
      </c>
      <c r="O16" s="7">
        <v>0.0</v>
      </c>
    </row>
    <row r="17" ht="15.75" customHeight="1">
      <c r="A17" s="8">
        <v>45448.0</v>
      </c>
      <c r="B17" s="7" t="s">
        <v>295</v>
      </c>
      <c r="C17" s="7" t="s">
        <v>624</v>
      </c>
      <c r="D17" s="7">
        <v>300.0</v>
      </c>
      <c r="F17" s="7">
        <v>300.0</v>
      </c>
      <c r="G17" s="7">
        <v>0.0</v>
      </c>
      <c r="H17" s="7">
        <v>0.0</v>
      </c>
      <c r="I17" s="7">
        <v>300.0</v>
      </c>
      <c r="L17" s="7">
        <v>1540.0</v>
      </c>
      <c r="M17" s="7">
        <v>790.0</v>
      </c>
      <c r="N17" s="7">
        <v>750.0</v>
      </c>
      <c r="O17" s="7">
        <v>0.0</v>
      </c>
    </row>
    <row r="18" ht="15.75" customHeight="1">
      <c r="B18" s="7" t="s">
        <v>625</v>
      </c>
      <c r="C18" s="7" t="s">
        <v>626</v>
      </c>
      <c r="D18" s="7">
        <v>300.0</v>
      </c>
      <c r="E18" s="7">
        <v>300.0</v>
      </c>
      <c r="F18" s="7">
        <v>0.0</v>
      </c>
      <c r="G18" s="7">
        <v>0.0</v>
      </c>
      <c r="H18" s="7">
        <v>0.0</v>
      </c>
      <c r="I18" s="7">
        <v>300.0</v>
      </c>
      <c r="L18" s="7">
        <v>1180.0</v>
      </c>
      <c r="M18" s="7">
        <v>1180.0</v>
      </c>
      <c r="N18" s="7">
        <v>0.0</v>
      </c>
      <c r="O18" s="7">
        <v>0.0</v>
      </c>
    </row>
    <row r="19" ht="15.75" customHeight="1">
      <c r="B19" s="62" t="s">
        <v>627</v>
      </c>
      <c r="C19" s="7" t="s">
        <v>628</v>
      </c>
      <c r="D19" s="7">
        <v>300.0</v>
      </c>
      <c r="E19" s="7">
        <v>300.0</v>
      </c>
      <c r="F19" s="7">
        <v>0.0</v>
      </c>
      <c r="G19" s="7">
        <v>0.0</v>
      </c>
      <c r="H19" s="7">
        <v>300.0</v>
      </c>
      <c r="I19" s="7">
        <v>0.0</v>
      </c>
      <c r="L19" s="7">
        <v>2350.0</v>
      </c>
      <c r="M19" s="7">
        <v>650.0</v>
      </c>
      <c r="N19" s="7">
        <v>1700.0</v>
      </c>
      <c r="O19" s="7">
        <v>0.0</v>
      </c>
    </row>
    <row r="20" ht="15.75" customHeight="1">
      <c r="B20" s="7" t="s">
        <v>233</v>
      </c>
      <c r="C20" s="7" t="s">
        <v>629</v>
      </c>
      <c r="D20" s="7">
        <v>600.0</v>
      </c>
      <c r="E20" s="7">
        <v>600.0</v>
      </c>
      <c r="F20" s="7">
        <v>0.0</v>
      </c>
      <c r="G20" s="7">
        <v>0.0</v>
      </c>
      <c r="H20" s="7">
        <v>0.0</v>
      </c>
      <c r="I20" s="7">
        <v>600.0</v>
      </c>
      <c r="L20" s="7">
        <v>1390.0</v>
      </c>
      <c r="M20" s="7">
        <v>850.0</v>
      </c>
      <c r="N20" s="7">
        <v>540.0</v>
      </c>
      <c r="O20" s="7">
        <v>0.0</v>
      </c>
    </row>
    <row r="21" ht="15.75" customHeight="1">
      <c r="B21" s="7" t="s">
        <v>630</v>
      </c>
      <c r="C21" s="7" t="s">
        <v>631</v>
      </c>
      <c r="D21" s="7">
        <v>320.0</v>
      </c>
      <c r="E21" s="7">
        <v>320.0</v>
      </c>
      <c r="F21" s="7">
        <v>0.0</v>
      </c>
      <c r="G21" s="7">
        <v>0.0</v>
      </c>
      <c r="H21" s="7">
        <v>0.0</v>
      </c>
      <c r="I21" s="7">
        <v>320.0</v>
      </c>
      <c r="L21" s="7">
        <v>2290.0</v>
      </c>
      <c r="M21" s="7">
        <v>2290.0</v>
      </c>
      <c r="N21" s="7">
        <v>0.0</v>
      </c>
      <c r="O21" s="7">
        <v>0.0</v>
      </c>
    </row>
    <row r="22" ht="15.75" customHeight="1">
      <c r="B22" s="7" t="s">
        <v>632</v>
      </c>
      <c r="C22" s="7" t="s">
        <v>633</v>
      </c>
      <c r="D22" s="7">
        <v>600.0</v>
      </c>
      <c r="E22" s="7">
        <v>0.0</v>
      </c>
      <c r="F22" s="7">
        <v>0.0</v>
      </c>
      <c r="G22" s="7">
        <v>600.0</v>
      </c>
      <c r="H22" s="7">
        <v>0.0</v>
      </c>
      <c r="I22" s="7">
        <v>600.0</v>
      </c>
      <c r="L22" s="7">
        <v>675.0</v>
      </c>
      <c r="M22" s="7">
        <v>600.0</v>
      </c>
      <c r="N22" s="7">
        <v>75.0</v>
      </c>
      <c r="O22" s="7">
        <v>0.0</v>
      </c>
    </row>
    <row r="23" ht="15.75" customHeight="1">
      <c r="D23" s="7">
        <f t="shared" ref="D23:I23" si="3">SUM(D17:D22)</f>
        <v>2420</v>
      </c>
      <c r="E23" s="7">
        <f t="shared" si="3"/>
        <v>1520</v>
      </c>
      <c r="F23" s="7">
        <f t="shared" si="3"/>
        <v>300</v>
      </c>
      <c r="G23" s="7">
        <f t="shared" si="3"/>
        <v>600</v>
      </c>
      <c r="H23" s="7">
        <f t="shared" si="3"/>
        <v>300</v>
      </c>
      <c r="I23" s="7">
        <f t="shared" si="3"/>
        <v>2120</v>
      </c>
      <c r="L23" s="7">
        <v>2480.0</v>
      </c>
      <c r="M23" s="7">
        <v>1480.0</v>
      </c>
      <c r="N23" s="7">
        <v>1000.0</v>
      </c>
      <c r="O23" s="7">
        <v>0.0</v>
      </c>
    </row>
    <row r="24" ht="15.75" customHeight="1">
      <c r="D24" s="7" t="s">
        <v>25</v>
      </c>
      <c r="E24" s="7" t="s">
        <v>390</v>
      </c>
      <c r="F24" s="7" t="s">
        <v>524</v>
      </c>
      <c r="G24" s="7" t="s">
        <v>392</v>
      </c>
      <c r="L24" s="7">
        <v>350.0</v>
      </c>
      <c r="M24" s="7">
        <v>0.0</v>
      </c>
      <c r="N24" s="7">
        <v>350.0</v>
      </c>
      <c r="O24" s="7">
        <v>0.0</v>
      </c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L25" s="7">
        <f t="shared" ref="L25:M25" si="4">SUM(L6:L24)</f>
        <v>40655</v>
      </c>
      <c r="M25" s="7">
        <f t="shared" si="4"/>
        <v>25650</v>
      </c>
      <c r="N25" s="7">
        <f>SUM(N7:N24)</f>
        <v>9555</v>
      </c>
      <c r="O25" s="7">
        <f>SUM(O6:O24)</f>
        <v>6200</v>
      </c>
    </row>
    <row r="26" ht="15.75" customHeight="1">
      <c r="A26" s="8">
        <v>45449.0</v>
      </c>
      <c r="B26" s="7" t="s">
        <v>634</v>
      </c>
      <c r="C26" s="7" t="s">
        <v>635</v>
      </c>
      <c r="D26" s="7">
        <v>60.0</v>
      </c>
      <c r="E26" s="7">
        <v>0.0</v>
      </c>
      <c r="F26" s="7">
        <v>60.0</v>
      </c>
      <c r="G26" s="7">
        <v>0.0</v>
      </c>
      <c r="H26" s="7">
        <v>60.0</v>
      </c>
      <c r="I26" s="7">
        <v>0.0</v>
      </c>
    </row>
    <row r="27" ht="15.75" customHeight="1">
      <c r="B27" s="7" t="s">
        <v>109</v>
      </c>
      <c r="C27" s="7" t="s">
        <v>636</v>
      </c>
      <c r="D27" s="7">
        <v>150.0</v>
      </c>
      <c r="E27" s="7">
        <v>0.0</v>
      </c>
      <c r="F27" s="7">
        <v>150.0</v>
      </c>
      <c r="G27" s="7">
        <v>0.0</v>
      </c>
      <c r="H27" s="7">
        <v>0.0</v>
      </c>
      <c r="I27" s="7">
        <v>150.0</v>
      </c>
    </row>
    <row r="28" ht="15.75" customHeight="1">
      <c r="B28" s="7" t="s">
        <v>637</v>
      </c>
      <c r="C28" s="7" t="s">
        <v>638</v>
      </c>
      <c r="D28" s="7">
        <v>300.0</v>
      </c>
      <c r="E28" s="7">
        <v>300.0</v>
      </c>
      <c r="F28" s="7">
        <v>0.0</v>
      </c>
      <c r="G28" s="7">
        <v>0.0</v>
      </c>
      <c r="H28" s="7">
        <v>0.0</v>
      </c>
      <c r="I28" s="7">
        <v>300.0</v>
      </c>
    </row>
    <row r="29" ht="15.75" customHeight="1">
      <c r="B29" s="7" t="s">
        <v>266</v>
      </c>
      <c r="C29" s="7" t="s">
        <v>639</v>
      </c>
      <c r="D29" s="7">
        <v>35.0</v>
      </c>
      <c r="E29" s="7">
        <v>0.0</v>
      </c>
      <c r="F29" s="7">
        <v>35.0</v>
      </c>
      <c r="G29" s="7">
        <v>0.0</v>
      </c>
      <c r="H29" s="7">
        <v>0.0</v>
      </c>
      <c r="I29" s="7">
        <v>35.0</v>
      </c>
    </row>
    <row r="30" ht="15.75" customHeight="1">
      <c r="B30" s="7" t="s">
        <v>557</v>
      </c>
      <c r="C30" s="7" t="s">
        <v>640</v>
      </c>
      <c r="D30" s="7">
        <v>600.0</v>
      </c>
      <c r="E30" s="7">
        <v>600.0</v>
      </c>
      <c r="F30" s="7">
        <v>0.0</v>
      </c>
      <c r="G30" s="7">
        <v>0.0</v>
      </c>
      <c r="H30" s="7">
        <v>0.0</v>
      </c>
      <c r="I30" s="7">
        <v>600.0</v>
      </c>
    </row>
    <row r="31" ht="15.75" customHeight="1">
      <c r="B31" s="7" t="s">
        <v>641</v>
      </c>
      <c r="C31" s="7" t="s">
        <v>642</v>
      </c>
      <c r="D31" s="7">
        <v>500.0</v>
      </c>
      <c r="E31" s="7">
        <v>500.0</v>
      </c>
      <c r="F31" s="7">
        <v>0.0</v>
      </c>
      <c r="G31" s="7">
        <v>0.0</v>
      </c>
      <c r="H31" s="7">
        <v>0.0</v>
      </c>
      <c r="I31" s="7">
        <v>500.0</v>
      </c>
    </row>
    <row r="32" ht="15.75" customHeight="1">
      <c r="D32" s="7">
        <f t="shared" ref="D32:I32" si="5">SUM(D26:D31)</f>
        <v>1645</v>
      </c>
      <c r="E32" s="7">
        <f t="shared" si="5"/>
        <v>1400</v>
      </c>
      <c r="F32" s="7">
        <f t="shared" si="5"/>
        <v>245</v>
      </c>
      <c r="G32" s="7">
        <f t="shared" si="5"/>
        <v>0</v>
      </c>
      <c r="H32" s="7">
        <f t="shared" si="5"/>
        <v>60</v>
      </c>
      <c r="I32" s="7">
        <f t="shared" si="5"/>
        <v>1585</v>
      </c>
    </row>
    <row r="33" ht="15.75" customHeight="1">
      <c r="D33" s="7" t="s">
        <v>119</v>
      </c>
      <c r="E33" s="7" t="s">
        <v>263</v>
      </c>
      <c r="F33" s="7" t="s">
        <v>643</v>
      </c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ht="15.75" customHeight="1">
      <c r="A35" s="8">
        <v>45419.0</v>
      </c>
      <c r="B35" s="7" t="s">
        <v>644</v>
      </c>
      <c r="C35" s="7" t="s">
        <v>645</v>
      </c>
      <c r="D35" s="7">
        <v>2150.0</v>
      </c>
      <c r="E35" s="7">
        <v>2150.0</v>
      </c>
      <c r="F35" s="7">
        <v>0.0</v>
      </c>
      <c r="G35" s="7">
        <v>0.0</v>
      </c>
      <c r="H35" s="7">
        <v>0.0</v>
      </c>
      <c r="I35" s="7">
        <v>2150.0</v>
      </c>
    </row>
    <row r="36" ht="15.75" customHeight="1">
      <c r="B36" s="7" t="s">
        <v>646</v>
      </c>
      <c r="C36" s="7" t="s">
        <v>647</v>
      </c>
      <c r="D36" s="7">
        <v>900.0</v>
      </c>
      <c r="E36" s="7">
        <v>0.0</v>
      </c>
      <c r="F36" s="7">
        <v>0.0</v>
      </c>
      <c r="G36" s="7">
        <v>900.0</v>
      </c>
      <c r="H36" s="7">
        <v>0.0</v>
      </c>
      <c r="I36" s="7">
        <v>900.0</v>
      </c>
    </row>
    <row r="37" ht="15.75" customHeight="1">
      <c r="D37" s="7">
        <f t="shared" ref="D37:E37" si="6">SUM(D35:D36)</f>
        <v>3050</v>
      </c>
      <c r="E37" s="7">
        <f t="shared" si="6"/>
        <v>2150</v>
      </c>
      <c r="G37" s="7">
        <f>SUM(G35:G36)</f>
        <v>900</v>
      </c>
      <c r="I37" s="7">
        <f>SUM(I35:I36)</f>
        <v>3050</v>
      </c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ht="15.75" customHeight="1">
      <c r="A39" s="8">
        <v>45422.0</v>
      </c>
      <c r="B39" s="7" t="s">
        <v>27</v>
      </c>
      <c r="C39" s="7" t="s">
        <v>648</v>
      </c>
      <c r="D39" s="7">
        <v>150.0</v>
      </c>
      <c r="E39" s="7">
        <v>150.0</v>
      </c>
      <c r="F39" s="7">
        <v>0.0</v>
      </c>
      <c r="G39" s="7">
        <v>0.0</v>
      </c>
      <c r="H39" s="7">
        <v>0.0</v>
      </c>
      <c r="I39" s="7">
        <v>150.0</v>
      </c>
    </row>
    <row r="40" ht="15.75" customHeight="1">
      <c r="B40" s="7" t="s">
        <v>649</v>
      </c>
      <c r="C40" s="7" t="s">
        <v>650</v>
      </c>
      <c r="D40" s="7">
        <v>400.0</v>
      </c>
      <c r="E40" s="7">
        <v>0.0</v>
      </c>
      <c r="F40" s="7">
        <v>400.0</v>
      </c>
      <c r="G40" s="7">
        <v>0.0</v>
      </c>
      <c r="H40" s="7">
        <v>0.0</v>
      </c>
      <c r="I40" s="7">
        <v>400.0</v>
      </c>
    </row>
    <row r="41" ht="15.75" customHeight="1">
      <c r="B41" s="7" t="s">
        <v>651</v>
      </c>
      <c r="C41" s="7" t="s">
        <v>652</v>
      </c>
      <c r="D41" s="7">
        <v>300.0</v>
      </c>
      <c r="E41" s="7">
        <v>300.0</v>
      </c>
      <c r="F41" s="7">
        <v>0.0</v>
      </c>
      <c r="G41" s="7">
        <v>0.0</v>
      </c>
      <c r="H41" s="7">
        <v>0.0</v>
      </c>
      <c r="I41" s="7">
        <v>300.0</v>
      </c>
    </row>
    <row r="42" ht="15.75" customHeight="1">
      <c r="A42" s="39"/>
      <c r="B42" s="39"/>
      <c r="C42" s="39"/>
      <c r="D42" s="39">
        <f t="shared" ref="D42:F42" si="7">SUM(D39:D41)</f>
        <v>850</v>
      </c>
      <c r="E42" s="39">
        <f t="shared" si="7"/>
        <v>450</v>
      </c>
      <c r="F42" s="39">
        <f t="shared" si="7"/>
        <v>400</v>
      </c>
      <c r="G42" s="39"/>
      <c r="H42" s="39"/>
      <c r="I42" s="39">
        <f>SUM(I39:I41)</f>
        <v>850</v>
      </c>
      <c r="J42" s="39"/>
    </row>
    <row r="43" ht="15.75" customHeight="1">
      <c r="A43" s="8">
        <v>45454.0</v>
      </c>
      <c r="B43" s="7" t="s">
        <v>293</v>
      </c>
      <c r="C43" s="7" t="s">
        <v>653</v>
      </c>
      <c r="D43" s="7">
        <v>300.0</v>
      </c>
      <c r="E43" s="7">
        <v>300.0</v>
      </c>
      <c r="F43" s="7">
        <v>0.0</v>
      </c>
      <c r="G43" s="7">
        <v>0.0</v>
      </c>
      <c r="H43" s="7">
        <v>0.0</v>
      </c>
      <c r="I43" s="7">
        <v>300.0</v>
      </c>
    </row>
    <row r="44" ht="15.75" customHeight="1">
      <c r="B44" s="7" t="s">
        <v>654</v>
      </c>
      <c r="C44" s="7" t="s">
        <v>655</v>
      </c>
      <c r="D44" s="7">
        <v>700.0</v>
      </c>
      <c r="E44" s="7">
        <v>0.0</v>
      </c>
      <c r="F44" s="7">
        <v>700.0</v>
      </c>
      <c r="G44" s="7">
        <v>0.0</v>
      </c>
      <c r="H44" s="7">
        <v>0.0</v>
      </c>
      <c r="I44" s="7">
        <v>700.0</v>
      </c>
    </row>
    <row r="45" ht="15.75" customHeight="1">
      <c r="B45" s="7" t="s">
        <v>656</v>
      </c>
      <c r="C45" s="7" t="s">
        <v>657</v>
      </c>
      <c r="D45" s="7">
        <v>50.0</v>
      </c>
      <c r="E45" s="7">
        <v>50.0</v>
      </c>
      <c r="F45" s="7">
        <v>0.0</v>
      </c>
      <c r="G45" s="7">
        <v>0.0</v>
      </c>
      <c r="H45" s="7">
        <v>0.0</v>
      </c>
      <c r="I45" s="7">
        <v>50.0</v>
      </c>
    </row>
    <row r="46" ht="15.75" customHeight="1">
      <c r="B46" s="7" t="s">
        <v>658</v>
      </c>
      <c r="C46" s="7" t="s">
        <v>659</v>
      </c>
      <c r="D46" s="7">
        <v>150.0</v>
      </c>
      <c r="E46" s="7">
        <v>150.0</v>
      </c>
      <c r="F46" s="7">
        <v>0.0</v>
      </c>
      <c r="G46" s="7">
        <v>0.0</v>
      </c>
      <c r="H46" s="7">
        <v>0.0</v>
      </c>
      <c r="I46" s="7">
        <v>150.0</v>
      </c>
    </row>
    <row r="47" ht="15.75" customHeight="1">
      <c r="B47" s="63" t="s">
        <v>567</v>
      </c>
      <c r="C47" s="7" t="s">
        <v>660</v>
      </c>
      <c r="D47" s="7">
        <v>200.0</v>
      </c>
      <c r="E47" s="7">
        <v>0.0</v>
      </c>
      <c r="F47" s="7">
        <v>200.0</v>
      </c>
      <c r="G47" s="7">
        <v>0.0</v>
      </c>
      <c r="H47" s="7">
        <v>0.0</v>
      </c>
      <c r="I47" s="7">
        <v>200.0</v>
      </c>
    </row>
    <row r="48" ht="15.75" customHeight="1">
      <c r="D48" s="7">
        <f t="shared" ref="D48:F48" si="8">SUM(D43:D47)</f>
        <v>1400</v>
      </c>
      <c r="E48" s="7">
        <f t="shared" si="8"/>
        <v>500</v>
      </c>
      <c r="F48" s="7">
        <f t="shared" si="8"/>
        <v>900</v>
      </c>
      <c r="I48" s="7">
        <f>SUM(I43:I47)</f>
        <v>1400</v>
      </c>
    </row>
    <row r="49" ht="15.75" customHeight="1">
      <c r="A49" s="39"/>
      <c r="B49" s="39"/>
      <c r="C49" s="39"/>
      <c r="D49" s="39"/>
      <c r="E49" s="39"/>
      <c r="F49" s="39"/>
      <c r="G49" s="39"/>
    </row>
    <row r="50" ht="15.75" customHeight="1">
      <c r="A50" s="8">
        <v>45455.0</v>
      </c>
      <c r="B50" s="7" t="s">
        <v>661</v>
      </c>
      <c r="C50" s="7" t="s">
        <v>662</v>
      </c>
      <c r="D50" s="7">
        <v>3500.0</v>
      </c>
      <c r="E50" s="7">
        <v>3500.0</v>
      </c>
      <c r="F50" s="7">
        <v>0.0</v>
      </c>
      <c r="G50" s="7">
        <v>0.0</v>
      </c>
      <c r="I50" s="7">
        <v>3400.0</v>
      </c>
    </row>
    <row r="51" ht="15.75" customHeight="1">
      <c r="B51" s="7" t="s">
        <v>663</v>
      </c>
      <c r="C51" s="7" t="s">
        <v>664</v>
      </c>
      <c r="D51" s="7">
        <v>1850.0</v>
      </c>
      <c r="E51" s="7">
        <v>1850.0</v>
      </c>
      <c r="F51" s="7">
        <v>0.0</v>
      </c>
      <c r="G51" s="7">
        <v>0.0</v>
      </c>
      <c r="H51" s="7">
        <v>0.0</v>
      </c>
      <c r="I51" s="7">
        <v>1850.0</v>
      </c>
    </row>
    <row r="52" ht="15.75" customHeight="1">
      <c r="D52" s="7">
        <f t="shared" ref="D52:I52" si="9">SUM(D50:D51)</f>
        <v>5350</v>
      </c>
      <c r="E52" s="7">
        <f t="shared" si="9"/>
        <v>5350</v>
      </c>
      <c r="F52" s="7">
        <f t="shared" si="9"/>
        <v>0</v>
      </c>
      <c r="G52" s="7">
        <f t="shared" si="9"/>
        <v>0</v>
      </c>
      <c r="H52" s="7">
        <f t="shared" si="9"/>
        <v>0</v>
      </c>
      <c r="I52" s="7">
        <f t="shared" si="9"/>
        <v>5250</v>
      </c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</row>
    <row r="54" ht="15.75" customHeight="1">
      <c r="A54" s="8">
        <v>45456.0</v>
      </c>
      <c r="B54" s="23" t="s">
        <v>665</v>
      </c>
      <c r="C54" s="7" t="s">
        <v>666</v>
      </c>
      <c r="D54" s="7">
        <v>300.0</v>
      </c>
      <c r="E54" s="7">
        <v>300.0</v>
      </c>
      <c r="F54" s="7">
        <v>0.0</v>
      </c>
      <c r="G54" s="7">
        <v>0.0</v>
      </c>
      <c r="H54" s="7">
        <v>0.0</v>
      </c>
      <c r="I54" s="7">
        <v>300.0</v>
      </c>
    </row>
    <row r="55" ht="15.75" customHeight="1">
      <c r="B55" s="7" t="s">
        <v>310</v>
      </c>
      <c r="C55" s="7" t="s">
        <v>667</v>
      </c>
      <c r="D55" s="7">
        <v>150.0</v>
      </c>
      <c r="E55" s="7">
        <v>150.0</v>
      </c>
      <c r="F55" s="7">
        <v>150.0</v>
      </c>
      <c r="G55" s="7">
        <v>0.0</v>
      </c>
      <c r="H55" s="7">
        <v>0.0</v>
      </c>
      <c r="I55" s="7">
        <v>150.0</v>
      </c>
    </row>
    <row r="56" ht="15.75" customHeight="1">
      <c r="B56" s="7" t="s">
        <v>668</v>
      </c>
      <c r="C56" s="7" t="s">
        <v>669</v>
      </c>
      <c r="D56" s="7">
        <v>635.0</v>
      </c>
      <c r="E56" s="7">
        <v>600.0</v>
      </c>
      <c r="F56" s="7">
        <v>35.0</v>
      </c>
      <c r="G56" s="7">
        <v>0.0</v>
      </c>
      <c r="H56" s="7">
        <v>0.0</v>
      </c>
      <c r="I56" s="7">
        <v>635.0</v>
      </c>
    </row>
    <row r="57" ht="15.75" customHeight="1">
      <c r="B57" s="7" t="s">
        <v>200</v>
      </c>
      <c r="C57" s="7" t="s">
        <v>670</v>
      </c>
      <c r="D57" s="7">
        <v>250.0</v>
      </c>
      <c r="E57" s="7">
        <v>250.0</v>
      </c>
      <c r="F57" s="7">
        <v>0.0</v>
      </c>
      <c r="G57" s="7">
        <v>0.0</v>
      </c>
      <c r="H57" s="7">
        <v>0.0</v>
      </c>
      <c r="I57" s="7">
        <v>250.0</v>
      </c>
    </row>
    <row r="58" ht="15.75" customHeight="1">
      <c r="B58" s="7" t="s">
        <v>244</v>
      </c>
      <c r="C58" s="7" t="s">
        <v>671</v>
      </c>
      <c r="D58" s="7">
        <v>250.0</v>
      </c>
      <c r="E58" s="7">
        <v>0.0</v>
      </c>
      <c r="F58" s="7">
        <v>250.0</v>
      </c>
      <c r="G58" s="7">
        <v>0.0</v>
      </c>
      <c r="H58" s="7">
        <v>0.0</v>
      </c>
      <c r="I58" s="7">
        <v>250.0</v>
      </c>
    </row>
    <row r="59" ht="15.75" customHeight="1">
      <c r="B59" s="7" t="s">
        <v>672</v>
      </c>
      <c r="C59" s="7" t="s">
        <v>673</v>
      </c>
      <c r="D59" s="7">
        <v>400.0</v>
      </c>
      <c r="E59" s="7">
        <v>400.0</v>
      </c>
      <c r="F59" s="7">
        <v>0.0</v>
      </c>
      <c r="G59" s="7">
        <v>0.0</v>
      </c>
      <c r="H59" s="7">
        <v>0.0</v>
      </c>
      <c r="I59" s="7">
        <v>400.0</v>
      </c>
    </row>
    <row r="60" ht="15.75" customHeight="1">
      <c r="A60" s="20"/>
      <c r="B60" s="20"/>
      <c r="C60" s="20"/>
      <c r="D60" s="20">
        <f t="shared" ref="D60:F60" si="10">SUM(D54:D59)</f>
        <v>1985</v>
      </c>
      <c r="E60" s="20">
        <f t="shared" si="10"/>
        <v>1700</v>
      </c>
      <c r="F60" s="20">
        <f t="shared" si="10"/>
        <v>435</v>
      </c>
      <c r="G60" s="20"/>
      <c r="H60" s="20"/>
      <c r="I60" s="20">
        <f>SUM(I53:I59)</f>
        <v>1985</v>
      </c>
    </row>
    <row r="61" ht="15.75" customHeight="1"/>
    <row r="62" ht="15.75" customHeight="1"/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8">
        <v>45460.0</v>
      </c>
      <c r="B64" s="7" t="s">
        <v>634</v>
      </c>
      <c r="C64" s="7" t="s">
        <v>674</v>
      </c>
      <c r="D64" s="7">
        <v>290.0</v>
      </c>
      <c r="E64" s="7">
        <v>290.0</v>
      </c>
      <c r="F64" s="7">
        <v>0.0</v>
      </c>
      <c r="G64" s="7">
        <v>0.0</v>
      </c>
      <c r="H64" s="7">
        <v>0.0</v>
      </c>
      <c r="I64" s="7">
        <v>290.0</v>
      </c>
    </row>
    <row r="65" ht="15.75" customHeight="1">
      <c r="B65" s="7" t="s">
        <v>675</v>
      </c>
      <c r="C65" s="7" t="s">
        <v>676</v>
      </c>
      <c r="D65" s="7">
        <v>650.0</v>
      </c>
      <c r="E65" s="7">
        <v>0.0</v>
      </c>
      <c r="F65" s="7">
        <v>650.0</v>
      </c>
      <c r="G65" s="7">
        <v>0.0</v>
      </c>
      <c r="H65" s="7">
        <v>0.0</v>
      </c>
      <c r="I65" s="7">
        <v>650.0</v>
      </c>
    </row>
    <row r="66" ht="15.75" customHeight="1">
      <c r="B66" s="7" t="s">
        <v>677</v>
      </c>
      <c r="C66" s="7" t="s">
        <v>678</v>
      </c>
      <c r="D66" s="7">
        <v>600.0</v>
      </c>
      <c r="E66" s="7">
        <v>0.0</v>
      </c>
      <c r="F66" s="7">
        <v>600.0</v>
      </c>
      <c r="G66" s="7">
        <v>0.0</v>
      </c>
      <c r="H66" s="7">
        <v>0.0</v>
      </c>
      <c r="I66" s="7">
        <v>600.0</v>
      </c>
    </row>
    <row r="67" ht="15.75" customHeight="1">
      <c r="B67" s="7" t="s">
        <v>679</v>
      </c>
      <c r="C67" s="7" t="s">
        <v>680</v>
      </c>
      <c r="D67" s="7">
        <v>350.0</v>
      </c>
      <c r="E67" s="7">
        <v>350.0</v>
      </c>
      <c r="F67" s="7">
        <v>0.0</v>
      </c>
      <c r="G67" s="7">
        <v>0.0</v>
      </c>
      <c r="H67" s="7">
        <v>0.0</v>
      </c>
      <c r="I67" s="7">
        <v>350.0</v>
      </c>
    </row>
    <row r="68" ht="15.75" customHeight="1">
      <c r="B68" s="7" t="s">
        <v>681</v>
      </c>
      <c r="C68" s="7" t="s">
        <v>682</v>
      </c>
      <c r="D68" s="7">
        <v>750.0</v>
      </c>
      <c r="E68" s="7">
        <v>750.0</v>
      </c>
      <c r="F68" s="7">
        <v>0.0</v>
      </c>
      <c r="G68" s="7">
        <v>0.0</v>
      </c>
      <c r="H68" s="7">
        <v>0.0</v>
      </c>
      <c r="I68" s="7">
        <v>750.0</v>
      </c>
    </row>
    <row r="69" ht="15.75" customHeight="1">
      <c r="D69" s="7">
        <f t="shared" ref="D69:I69" si="11">SUM(D64:D68)</f>
        <v>2640</v>
      </c>
      <c r="E69" s="7">
        <f t="shared" si="11"/>
        <v>1390</v>
      </c>
      <c r="F69" s="7">
        <f t="shared" si="11"/>
        <v>1250</v>
      </c>
      <c r="G69" s="7">
        <f t="shared" si="11"/>
        <v>0</v>
      </c>
      <c r="H69" s="7">
        <f t="shared" si="11"/>
        <v>0</v>
      </c>
      <c r="I69" s="7">
        <f t="shared" si="11"/>
        <v>2640</v>
      </c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</row>
    <row r="71" ht="15.75" customHeight="1">
      <c r="A71" s="8">
        <v>45461.0</v>
      </c>
      <c r="B71" s="7" t="s">
        <v>683</v>
      </c>
      <c r="C71" s="7" t="s">
        <v>684</v>
      </c>
      <c r="D71" s="7">
        <v>350.0</v>
      </c>
      <c r="E71" s="7">
        <v>350.0</v>
      </c>
      <c r="G71" s="7">
        <v>0.0</v>
      </c>
      <c r="H71" s="7">
        <v>0.0</v>
      </c>
      <c r="I71" s="7">
        <v>350.0</v>
      </c>
    </row>
    <row r="72" ht="15.75" customHeight="1">
      <c r="B72" s="34" t="s">
        <v>190</v>
      </c>
      <c r="C72" s="7" t="s">
        <v>685</v>
      </c>
      <c r="D72" s="7">
        <v>200.0</v>
      </c>
      <c r="F72" s="7">
        <v>200.0</v>
      </c>
      <c r="G72" s="7">
        <v>0.0</v>
      </c>
      <c r="H72" s="7">
        <v>0.0</v>
      </c>
      <c r="I72" s="7">
        <v>200.0</v>
      </c>
    </row>
    <row r="73" ht="15.75" customHeight="1">
      <c r="B73" s="7" t="s">
        <v>686</v>
      </c>
      <c r="C73" s="7" t="s">
        <v>687</v>
      </c>
      <c r="D73" s="7">
        <v>240.0</v>
      </c>
      <c r="E73" s="7">
        <v>240.0</v>
      </c>
      <c r="G73" s="7">
        <v>0.0</v>
      </c>
      <c r="H73" s="7">
        <v>0.0</v>
      </c>
      <c r="I73" s="7">
        <v>240.0</v>
      </c>
    </row>
    <row r="74" ht="15.75" customHeight="1">
      <c r="B74" s="7" t="s">
        <v>688</v>
      </c>
      <c r="C74" s="7" t="s">
        <v>689</v>
      </c>
      <c r="D74" s="7">
        <v>300.0</v>
      </c>
      <c r="E74" s="7">
        <v>0.0</v>
      </c>
      <c r="F74" s="7">
        <v>300.0</v>
      </c>
      <c r="G74" s="7">
        <v>0.0</v>
      </c>
      <c r="H74" s="7">
        <v>0.0</v>
      </c>
      <c r="I74" s="7">
        <v>300.0</v>
      </c>
    </row>
    <row r="75" ht="15.75" customHeight="1">
      <c r="B75" s="7" t="s">
        <v>690</v>
      </c>
      <c r="C75" s="7" t="s">
        <v>691</v>
      </c>
      <c r="D75" s="7">
        <v>250.0</v>
      </c>
      <c r="E75" s="7">
        <v>0.0</v>
      </c>
      <c r="F75" s="7">
        <v>250.0</v>
      </c>
      <c r="G75" s="7">
        <v>0.0</v>
      </c>
      <c r="H75" s="7">
        <v>0.0</v>
      </c>
      <c r="I75" s="7">
        <v>250.0</v>
      </c>
    </row>
    <row r="76" ht="15.75" customHeight="1">
      <c r="B76" s="7" t="s">
        <v>692</v>
      </c>
      <c r="C76" s="7" t="s">
        <v>693</v>
      </c>
      <c r="D76" s="7">
        <v>200.0</v>
      </c>
      <c r="E76" s="7">
        <v>200.0</v>
      </c>
      <c r="F76" s="7">
        <v>0.0</v>
      </c>
      <c r="G76" s="7">
        <v>0.0</v>
      </c>
      <c r="H76" s="7">
        <v>0.0</v>
      </c>
      <c r="I76" s="7">
        <v>200.0</v>
      </c>
    </row>
    <row r="77" ht="15.75" customHeight="1">
      <c r="D77" s="7">
        <f t="shared" ref="D77:F77" si="12">SUM(D71:D76)</f>
        <v>1540</v>
      </c>
      <c r="E77" s="7">
        <f t="shared" si="12"/>
        <v>790</v>
      </c>
      <c r="F77" s="7">
        <f t="shared" si="12"/>
        <v>750</v>
      </c>
      <c r="I77" s="7">
        <f>SUM(I71:I76)</f>
        <v>1540</v>
      </c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</row>
    <row r="79" ht="15.75" customHeight="1">
      <c r="A79" s="8">
        <v>45462.0</v>
      </c>
      <c r="B79" s="7" t="s">
        <v>694</v>
      </c>
      <c r="C79" s="7" t="s">
        <v>695</v>
      </c>
      <c r="D79" s="7">
        <v>230.0</v>
      </c>
      <c r="E79" s="7">
        <v>230.0</v>
      </c>
      <c r="F79" s="7">
        <v>0.0</v>
      </c>
      <c r="G79" s="7">
        <v>0.0</v>
      </c>
      <c r="H79" s="7">
        <v>0.0</v>
      </c>
      <c r="I79" s="7">
        <v>230.0</v>
      </c>
    </row>
    <row r="80" ht="15.75" customHeight="1">
      <c r="B80" s="7" t="s">
        <v>349</v>
      </c>
      <c r="C80" s="7" t="s">
        <v>696</v>
      </c>
      <c r="D80" s="7">
        <v>300.0</v>
      </c>
      <c r="E80" s="7">
        <v>300.0</v>
      </c>
      <c r="F80" s="7">
        <v>0.0</v>
      </c>
      <c r="G80" s="7">
        <v>0.0</v>
      </c>
      <c r="H80" s="7">
        <v>0.0</v>
      </c>
      <c r="I80" s="7">
        <v>300.0</v>
      </c>
    </row>
    <row r="81" ht="15.75" customHeight="1">
      <c r="B81" s="7" t="s">
        <v>697</v>
      </c>
      <c r="C81" s="7" t="s">
        <v>698</v>
      </c>
      <c r="D81" s="7">
        <v>350.0</v>
      </c>
      <c r="E81" s="7">
        <v>350.0</v>
      </c>
      <c r="F81" s="7">
        <v>0.0</v>
      </c>
      <c r="G81" s="7">
        <v>0.0</v>
      </c>
      <c r="H81" s="7">
        <v>0.0</v>
      </c>
      <c r="I81" s="7">
        <v>350.0</v>
      </c>
    </row>
    <row r="82" ht="15.75" customHeight="1">
      <c r="B82" s="7" t="s">
        <v>463</v>
      </c>
      <c r="C82" s="64" t="s">
        <v>699</v>
      </c>
      <c r="D82" s="7">
        <v>300.0</v>
      </c>
      <c r="E82" s="7">
        <v>300.0</v>
      </c>
      <c r="F82" s="7">
        <v>0.0</v>
      </c>
      <c r="G82" s="7">
        <v>0.0</v>
      </c>
      <c r="H82" s="7">
        <v>0.0</v>
      </c>
      <c r="I82" s="7">
        <v>300.0</v>
      </c>
    </row>
    <row r="83" ht="15.75" customHeight="1">
      <c r="D83" s="7">
        <f t="shared" ref="D83:E83" si="13">SUM(D79:D82)</f>
        <v>1180</v>
      </c>
      <c r="E83" s="7">
        <f t="shared" si="13"/>
        <v>1180</v>
      </c>
      <c r="I83" s="7">
        <f>SUM(I79:I82)</f>
        <v>1180</v>
      </c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</row>
    <row r="85" ht="15.75" customHeight="1">
      <c r="A85" s="8">
        <v>45463.0</v>
      </c>
      <c r="B85" s="7" t="s">
        <v>207</v>
      </c>
      <c r="C85" s="7" t="s">
        <v>700</v>
      </c>
      <c r="D85" s="7">
        <v>300.0</v>
      </c>
      <c r="E85" s="7">
        <v>300.0</v>
      </c>
      <c r="F85" s="7">
        <v>0.0</v>
      </c>
      <c r="G85" s="7">
        <v>0.0</v>
      </c>
      <c r="H85" s="7">
        <v>0.0</v>
      </c>
      <c r="I85" s="7">
        <v>300.0</v>
      </c>
    </row>
    <row r="86" ht="15.75" customHeight="1">
      <c r="B86" s="7" t="s">
        <v>701</v>
      </c>
      <c r="C86" s="7" t="s">
        <v>702</v>
      </c>
      <c r="D86" s="7">
        <v>200.0</v>
      </c>
      <c r="F86" s="7">
        <v>200.0</v>
      </c>
      <c r="G86" s="7">
        <v>0.0</v>
      </c>
      <c r="H86" s="7">
        <v>0.0</v>
      </c>
      <c r="I86" s="7">
        <v>200.0</v>
      </c>
    </row>
    <row r="87" ht="15.75" customHeight="1">
      <c r="B87" s="7" t="s">
        <v>703</v>
      </c>
      <c r="C87" s="7" t="s">
        <v>704</v>
      </c>
      <c r="D87" s="7">
        <v>250.0</v>
      </c>
      <c r="F87" s="7">
        <v>250.0</v>
      </c>
      <c r="G87" s="7">
        <v>0.0</v>
      </c>
      <c r="H87" s="7">
        <v>0.0</v>
      </c>
      <c r="I87" s="7">
        <v>250.0</v>
      </c>
    </row>
    <row r="88" ht="15.75" customHeight="1">
      <c r="B88" s="7" t="s">
        <v>109</v>
      </c>
      <c r="C88" s="7" t="s">
        <v>705</v>
      </c>
      <c r="D88" s="7">
        <v>150.0</v>
      </c>
      <c r="F88" s="7">
        <v>150.0</v>
      </c>
      <c r="G88" s="7">
        <v>0.0</v>
      </c>
      <c r="H88" s="7">
        <v>0.0</v>
      </c>
      <c r="I88" s="7">
        <v>150.0</v>
      </c>
    </row>
    <row r="89" ht="15.75" customHeight="1">
      <c r="B89" s="7" t="s">
        <v>706</v>
      </c>
      <c r="C89" s="7" t="s">
        <v>707</v>
      </c>
      <c r="D89" s="7">
        <v>750.0</v>
      </c>
      <c r="F89" s="7">
        <v>750.0</v>
      </c>
      <c r="G89" s="7">
        <v>0.0</v>
      </c>
      <c r="H89" s="7">
        <v>0.0</v>
      </c>
      <c r="I89" s="7">
        <v>750.0</v>
      </c>
    </row>
    <row r="90" ht="15.75" customHeight="1">
      <c r="B90" s="7" t="s">
        <v>708</v>
      </c>
      <c r="C90" s="7" t="s">
        <v>709</v>
      </c>
      <c r="D90" s="7">
        <v>350.0</v>
      </c>
      <c r="F90" s="7">
        <v>350.0</v>
      </c>
      <c r="G90" s="7">
        <v>0.0</v>
      </c>
      <c r="H90" s="7">
        <v>0.0</v>
      </c>
      <c r="I90" s="7">
        <v>350.0</v>
      </c>
    </row>
    <row r="91" ht="15.75" customHeight="1">
      <c r="B91" s="7" t="s">
        <v>710</v>
      </c>
      <c r="C91" s="7" t="s">
        <v>711</v>
      </c>
      <c r="D91" s="7">
        <v>350.0</v>
      </c>
      <c r="E91" s="7">
        <v>350.0</v>
      </c>
      <c r="F91" s="7">
        <v>0.0</v>
      </c>
      <c r="G91" s="7">
        <v>0.0</v>
      </c>
      <c r="H91" s="7">
        <v>0.0</v>
      </c>
      <c r="I91" s="7">
        <v>350.0</v>
      </c>
    </row>
    <row r="92" ht="15.75" customHeight="1">
      <c r="A92" s="19"/>
      <c r="B92" s="19"/>
      <c r="C92" s="19"/>
      <c r="D92" s="19">
        <f t="shared" ref="D92:I92" si="14">SUM(D85:D91)</f>
        <v>2350</v>
      </c>
      <c r="E92" s="19">
        <f t="shared" si="14"/>
        <v>650</v>
      </c>
      <c r="F92" s="19">
        <f t="shared" si="14"/>
        <v>1700</v>
      </c>
      <c r="G92" s="19">
        <f t="shared" si="14"/>
        <v>0</v>
      </c>
      <c r="H92" s="19">
        <f t="shared" si="14"/>
        <v>0</v>
      </c>
      <c r="I92" s="19">
        <f t="shared" si="14"/>
        <v>2350</v>
      </c>
    </row>
    <row r="93" ht="15.75" customHeight="1">
      <c r="A93" s="8"/>
      <c r="B93" s="7"/>
      <c r="C93" s="65">
        <v>45463.0</v>
      </c>
      <c r="D93" s="7" t="s">
        <v>65</v>
      </c>
      <c r="E93" s="7" t="s">
        <v>712</v>
      </c>
      <c r="F93" s="7" t="s">
        <v>713</v>
      </c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</row>
    <row r="95" ht="15.75" customHeight="1">
      <c r="A95" s="8">
        <v>45464.0</v>
      </c>
      <c r="B95" s="7" t="s">
        <v>714</v>
      </c>
      <c r="C95" s="7" t="s">
        <v>715</v>
      </c>
      <c r="D95" s="7">
        <v>300.0</v>
      </c>
      <c r="E95" s="7">
        <v>0.0</v>
      </c>
      <c r="F95" s="7">
        <v>300.0</v>
      </c>
    </row>
    <row r="96" ht="15.75" customHeight="1">
      <c r="B96" s="7" t="s">
        <v>716</v>
      </c>
      <c r="C96" s="7" t="s">
        <v>717</v>
      </c>
      <c r="D96" s="7">
        <v>750.0</v>
      </c>
      <c r="E96" s="7">
        <v>750.0</v>
      </c>
    </row>
    <row r="97" ht="15.75" customHeight="1">
      <c r="B97" s="7" t="s">
        <v>718</v>
      </c>
      <c r="C97" s="7" t="s">
        <v>719</v>
      </c>
      <c r="D97" s="7">
        <v>300.0</v>
      </c>
      <c r="E97" s="7">
        <v>100.0</v>
      </c>
      <c r="F97" s="7">
        <v>200.0</v>
      </c>
    </row>
    <row r="98" ht="15.75" customHeight="1">
      <c r="B98" s="7" t="s">
        <v>295</v>
      </c>
      <c r="C98" s="7" t="s">
        <v>720</v>
      </c>
      <c r="D98" s="7">
        <v>40.0</v>
      </c>
      <c r="E98" s="7">
        <v>0.0</v>
      </c>
      <c r="F98" s="7">
        <v>40.0</v>
      </c>
    </row>
    <row r="99" ht="15.75" customHeight="1">
      <c r="D99" s="7">
        <f t="shared" ref="D99:F99" si="15">SUM(D95:D98)</f>
        <v>1390</v>
      </c>
      <c r="E99" s="7">
        <f t="shared" si="15"/>
        <v>850</v>
      </c>
      <c r="F99" s="7">
        <f t="shared" si="15"/>
        <v>540</v>
      </c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</row>
    <row r="101" ht="15.75" customHeight="1">
      <c r="A101" s="8">
        <v>45467.0</v>
      </c>
      <c r="B101" s="7" t="s">
        <v>721</v>
      </c>
      <c r="C101" s="7" t="s">
        <v>722</v>
      </c>
      <c r="D101" s="7">
        <v>790.0</v>
      </c>
      <c r="E101" s="7">
        <v>790.0</v>
      </c>
    </row>
    <row r="102" ht="15.75" customHeight="1">
      <c r="B102" s="7" t="s">
        <v>723</v>
      </c>
      <c r="C102" s="7" t="s">
        <v>724</v>
      </c>
      <c r="D102" s="7">
        <v>1500.0</v>
      </c>
      <c r="E102" s="7">
        <v>1500.0</v>
      </c>
    </row>
    <row r="103" ht="15.75" customHeight="1">
      <c r="D103" s="7">
        <f t="shared" ref="D103:E103" si="16">SUM(D101:D102)</f>
        <v>2290</v>
      </c>
      <c r="E103" s="7">
        <f t="shared" si="16"/>
        <v>2290</v>
      </c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</row>
    <row r="105" ht="15.75" customHeight="1">
      <c r="A105" s="8">
        <v>45468.0</v>
      </c>
      <c r="B105" s="7" t="s">
        <v>725</v>
      </c>
      <c r="C105" s="7" t="s">
        <v>121</v>
      </c>
      <c r="D105" s="7">
        <v>300.0</v>
      </c>
      <c r="E105" s="7">
        <v>0.0</v>
      </c>
      <c r="F105" s="7">
        <v>300.0</v>
      </c>
      <c r="G105" s="7">
        <v>0.0</v>
      </c>
      <c r="H105" s="7">
        <v>0.0</v>
      </c>
      <c r="I105" s="7">
        <v>0.0</v>
      </c>
      <c r="J105" s="7">
        <v>300.0</v>
      </c>
    </row>
    <row r="106" ht="15.75" customHeight="1">
      <c r="B106" s="7" t="s">
        <v>726</v>
      </c>
      <c r="C106" s="7" t="s">
        <v>727</v>
      </c>
      <c r="D106" s="7">
        <v>250.0</v>
      </c>
      <c r="E106" s="7">
        <v>150.0</v>
      </c>
      <c r="F106" s="7">
        <v>100.0</v>
      </c>
      <c r="G106" s="7">
        <v>0.0</v>
      </c>
      <c r="H106" s="7">
        <v>0.0</v>
      </c>
      <c r="I106" s="7">
        <v>0.0</v>
      </c>
      <c r="J106" s="7">
        <v>250.0</v>
      </c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</row>
    <row r="108" ht="15.75" customHeight="1">
      <c r="A108" s="7" t="s">
        <v>728</v>
      </c>
      <c r="B108" s="7" t="s">
        <v>729</v>
      </c>
      <c r="C108" s="7" t="s">
        <v>730</v>
      </c>
      <c r="D108" s="7">
        <v>200.0</v>
      </c>
      <c r="E108" s="7">
        <v>200.0</v>
      </c>
      <c r="F108" s="7">
        <v>0.0</v>
      </c>
      <c r="G108" s="7">
        <v>0.0</v>
      </c>
      <c r="H108" s="7">
        <v>0.0</v>
      </c>
      <c r="I108" s="7">
        <v>0.0</v>
      </c>
      <c r="J108" s="7">
        <v>200.0</v>
      </c>
    </row>
    <row r="109" ht="15.75" customHeight="1"/>
    <row r="110" ht="15.75" customHeight="1"/>
    <row r="111" ht="15.75" customHeight="1"/>
    <row r="112" ht="15.75" customHeight="1">
      <c r="A112" s="8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8">
        <v>45469.0</v>
      </c>
      <c r="B114" s="7" t="s">
        <v>293</v>
      </c>
      <c r="C114" s="7" t="s">
        <v>731</v>
      </c>
      <c r="D114" s="7">
        <v>600.0</v>
      </c>
      <c r="E114" s="7">
        <v>600.0</v>
      </c>
      <c r="F114" s="7">
        <v>0.0</v>
      </c>
      <c r="G114" s="7">
        <v>0.0</v>
      </c>
      <c r="H114" s="7">
        <v>0.0</v>
      </c>
      <c r="I114" s="7">
        <v>0.0</v>
      </c>
      <c r="J114" s="7">
        <v>60.0</v>
      </c>
    </row>
    <row r="115" ht="15.75" customHeight="1">
      <c r="B115" s="7" t="s">
        <v>612</v>
      </c>
      <c r="C115" s="7" t="s">
        <v>732</v>
      </c>
      <c r="D115" s="7">
        <v>75.0</v>
      </c>
    </row>
    <row r="116" ht="15.75" customHeight="1"/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</row>
    <row r="118" ht="15.75" customHeight="1">
      <c r="A118" s="8">
        <v>45470.0</v>
      </c>
      <c r="B118" s="44" t="s">
        <v>723</v>
      </c>
      <c r="C118" s="7" t="s">
        <v>733</v>
      </c>
      <c r="D118" s="7">
        <v>1000.0</v>
      </c>
      <c r="E118" s="7">
        <v>1000.0</v>
      </c>
      <c r="F118" s="7">
        <v>0.0</v>
      </c>
      <c r="G118" s="7">
        <v>0.0</v>
      </c>
      <c r="H118" s="7">
        <v>0.0</v>
      </c>
      <c r="I118" s="7">
        <v>0.0</v>
      </c>
      <c r="J118" s="7">
        <v>100.0</v>
      </c>
    </row>
    <row r="119" ht="15.75" customHeight="1">
      <c r="B119" s="7" t="s">
        <v>96</v>
      </c>
      <c r="C119" s="7" t="s">
        <v>734</v>
      </c>
      <c r="D119" s="7">
        <v>300.0</v>
      </c>
      <c r="E119" s="7">
        <v>300.0</v>
      </c>
      <c r="F119" s="7">
        <v>0.0</v>
      </c>
      <c r="G119" s="7">
        <v>0.0</v>
      </c>
      <c r="H119" s="7">
        <v>0.0</v>
      </c>
      <c r="I119" s="7">
        <v>0.0</v>
      </c>
      <c r="J119" s="7">
        <v>300.0</v>
      </c>
    </row>
    <row r="120" ht="15.75" customHeight="1">
      <c r="B120" s="7" t="s">
        <v>735</v>
      </c>
      <c r="C120" s="7" t="s">
        <v>176</v>
      </c>
      <c r="D120" s="7">
        <v>350.0</v>
      </c>
      <c r="E120" s="7">
        <v>0.0</v>
      </c>
      <c r="F120" s="7">
        <v>350.0</v>
      </c>
      <c r="G120" s="7">
        <v>0.0</v>
      </c>
      <c r="H120" s="7">
        <v>0.0</v>
      </c>
      <c r="I120" s="7">
        <v>0.0</v>
      </c>
      <c r="J120" s="7">
        <v>350.0</v>
      </c>
    </row>
    <row r="121" ht="15.75" customHeight="1">
      <c r="B121" s="7" t="s">
        <v>736</v>
      </c>
      <c r="C121" s="7" t="s">
        <v>737</v>
      </c>
      <c r="D121" s="7">
        <v>180.0</v>
      </c>
      <c r="E121" s="7">
        <v>180.0</v>
      </c>
      <c r="F121" s="7">
        <v>0.0</v>
      </c>
      <c r="G121" s="7">
        <v>0.0</v>
      </c>
      <c r="H121" s="7">
        <v>0.0</v>
      </c>
      <c r="I121" s="7">
        <v>0.0</v>
      </c>
      <c r="J121" s="7">
        <v>180.0</v>
      </c>
    </row>
    <row r="122" ht="15.75" customHeight="1">
      <c r="B122" s="7" t="s">
        <v>548</v>
      </c>
      <c r="C122" s="7" t="s">
        <v>738</v>
      </c>
      <c r="D122" s="7">
        <v>650.0</v>
      </c>
      <c r="E122" s="7">
        <v>0.0</v>
      </c>
      <c r="F122" s="7">
        <v>650.0</v>
      </c>
      <c r="G122" s="7">
        <v>0.0</v>
      </c>
      <c r="H122" s="7">
        <v>0.0</v>
      </c>
      <c r="I122" s="7">
        <v>0.0</v>
      </c>
      <c r="J122" s="7">
        <v>650.0</v>
      </c>
    </row>
    <row r="123" ht="15.75" customHeight="1">
      <c r="D123" s="7">
        <f t="shared" ref="D123:F123" si="17">SUM(D118:D122)</f>
        <v>2480</v>
      </c>
      <c r="E123" s="7">
        <f t="shared" si="17"/>
        <v>1480</v>
      </c>
      <c r="F123" s="7">
        <f t="shared" si="17"/>
        <v>1000</v>
      </c>
      <c r="J123" s="7">
        <f>SUM(J118:J122)</f>
        <v>1580</v>
      </c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</row>
    <row r="125" ht="15.75" customHeight="1">
      <c r="A125" s="8">
        <v>45471.0</v>
      </c>
      <c r="B125" s="7" t="s">
        <v>209</v>
      </c>
      <c r="C125" s="7" t="s">
        <v>739</v>
      </c>
      <c r="D125" s="7">
        <v>350.0</v>
      </c>
      <c r="E125" s="7">
        <v>0.0</v>
      </c>
      <c r="F125" s="7">
        <v>350.0</v>
      </c>
      <c r="G125" s="7">
        <v>0.0</v>
      </c>
      <c r="H125" s="7">
        <v>0.0</v>
      </c>
      <c r="I125" s="7">
        <v>0.0</v>
      </c>
      <c r="J125" s="7">
        <v>350.0</v>
      </c>
    </row>
    <row r="126" ht="15.75" customHeight="1"/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7"/>
      <c r="L127" s="28" t="s">
        <v>740</v>
      </c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</row>
    <row r="129" ht="15.75" customHeight="1">
      <c r="L129" s="7" t="s">
        <v>13</v>
      </c>
      <c r="M129" s="7" t="s">
        <v>10</v>
      </c>
      <c r="N129" s="7" t="s">
        <v>11</v>
      </c>
      <c r="O129" s="7" t="s">
        <v>14</v>
      </c>
    </row>
    <row r="130" ht="15.75" customHeight="1">
      <c r="A130" s="8">
        <v>45475.0</v>
      </c>
      <c r="B130" s="7" t="s">
        <v>741</v>
      </c>
      <c r="C130" s="7" t="s">
        <v>559</v>
      </c>
      <c r="D130" s="7">
        <v>250.0</v>
      </c>
      <c r="E130" s="7">
        <v>0.0</v>
      </c>
      <c r="F130" s="7">
        <v>250.0</v>
      </c>
      <c r="G130" s="7">
        <v>0.0</v>
      </c>
      <c r="H130" s="7">
        <v>0.0</v>
      </c>
      <c r="I130" s="7">
        <v>0.0</v>
      </c>
      <c r="J130" s="7">
        <v>250.0</v>
      </c>
      <c r="L130" s="7">
        <v>1150.0</v>
      </c>
      <c r="M130" s="7">
        <v>300.0</v>
      </c>
      <c r="N130" s="7">
        <v>850.0</v>
      </c>
    </row>
    <row r="131" ht="15.75" customHeight="1">
      <c r="B131" s="7" t="s">
        <v>612</v>
      </c>
      <c r="C131" s="7" t="s">
        <v>742</v>
      </c>
      <c r="D131" s="7">
        <v>300.0</v>
      </c>
      <c r="E131" s="7">
        <v>300.0</v>
      </c>
      <c r="F131" s="7">
        <v>0.0</v>
      </c>
      <c r="G131" s="7">
        <v>0.0</v>
      </c>
      <c r="H131" s="7">
        <v>0.0</v>
      </c>
      <c r="I131" s="7">
        <v>0.0</v>
      </c>
      <c r="J131" s="7">
        <v>300.0</v>
      </c>
      <c r="L131" s="7">
        <v>2000.0</v>
      </c>
      <c r="M131" s="7">
        <v>1300.0</v>
      </c>
      <c r="N131" s="7">
        <v>700.0</v>
      </c>
    </row>
    <row r="132" ht="15.75" customHeight="1">
      <c r="B132" s="7" t="s">
        <v>743</v>
      </c>
      <c r="C132" s="7" t="s">
        <v>744</v>
      </c>
      <c r="D132" s="7">
        <v>200.0</v>
      </c>
      <c r="E132" s="7">
        <v>0.0</v>
      </c>
      <c r="F132" s="7">
        <v>200.0</v>
      </c>
      <c r="G132" s="7">
        <v>0.0</v>
      </c>
      <c r="H132" s="7">
        <v>0.0</v>
      </c>
      <c r="I132" s="7">
        <v>0.0</v>
      </c>
      <c r="J132" s="7">
        <v>200.0</v>
      </c>
      <c r="L132" s="7">
        <v>1400.0</v>
      </c>
      <c r="M132" s="7">
        <v>450.0</v>
      </c>
      <c r="N132" s="7">
        <v>950.0</v>
      </c>
    </row>
    <row r="133" ht="15.75" customHeight="1">
      <c r="B133" s="7" t="s">
        <v>654</v>
      </c>
      <c r="C133" s="7" t="s">
        <v>745</v>
      </c>
      <c r="D133" s="7">
        <v>400.0</v>
      </c>
      <c r="E133" s="7">
        <v>0.0</v>
      </c>
      <c r="F133" s="7">
        <v>400.0</v>
      </c>
      <c r="G133" s="7">
        <v>0.0</v>
      </c>
      <c r="H133" s="7">
        <v>0.0</v>
      </c>
      <c r="I133" s="7">
        <v>0.0</v>
      </c>
      <c r="J133" s="7">
        <v>400.0</v>
      </c>
      <c r="L133" s="7">
        <v>520.0</v>
      </c>
      <c r="M133" s="7">
        <v>0.0</v>
      </c>
      <c r="N133" s="7">
        <v>520.0</v>
      </c>
    </row>
    <row r="134" ht="15.75" customHeight="1">
      <c r="D134" s="7">
        <f t="shared" ref="D134:E134" si="18">SUM(D129:D133)</f>
        <v>1150</v>
      </c>
      <c r="E134" s="7">
        <f t="shared" si="18"/>
        <v>300</v>
      </c>
      <c r="F134" s="7">
        <f>SUM(F130:F133)</f>
        <v>850</v>
      </c>
      <c r="J134" s="7">
        <f>SUM(J130:J133)</f>
        <v>1150</v>
      </c>
      <c r="L134" s="7">
        <v>2150.0</v>
      </c>
      <c r="M134" s="7">
        <v>2100.0</v>
      </c>
      <c r="N134" s="7">
        <v>50.0</v>
      </c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L135" s="7">
        <v>2050.0</v>
      </c>
      <c r="M135" s="7">
        <v>2050.0</v>
      </c>
      <c r="N135" s="7">
        <v>0.0</v>
      </c>
    </row>
    <row r="136" ht="15.75" customHeight="1">
      <c r="A136" s="8">
        <v>45476.0</v>
      </c>
      <c r="B136" s="7" t="s">
        <v>16</v>
      </c>
      <c r="C136" s="7" t="s">
        <v>746</v>
      </c>
      <c r="D136" s="7">
        <v>500.0</v>
      </c>
      <c r="E136" s="7">
        <v>0.0</v>
      </c>
      <c r="F136" s="7">
        <v>500.0</v>
      </c>
      <c r="L136" s="7">
        <v>1150.0</v>
      </c>
      <c r="M136" s="7">
        <v>250.0</v>
      </c>
      <c r="N136" s="7">
        <v>900.0</v>
      </c>
    </row>
    <row r="137" ht="15.75" customHeight="1">
      <c r="B137" s="7" t="s">
        <v>616</v>
      </c>
      <c r="C137" s="7" t="s">
        <v>747</v>
      </c>
      <c r="D137" s="7">
        <v>300.0</v>
      </c>
      <c r="E137" s="7">
        <v>300.0</v>
      </c>
      <c r="F137" s="7">
        <v>0.0</v>
      </c>
      <c r="G137" s="7">
        <v>0.0</v>
      </c>
      <c r="H137" s="7">
        <v>0.0</v>
      </c>
      <c r="I137" s="7">
        <v>0.0</v>
      </c>
      <c r="J137" s="7">
        <v>300.0</v>
      </c>
      <c r="L137" s="7">
        <v>1845.0</v>
      </c>
      <c r="M137" s="7">
        <v>1075.0</v>
      </c>
      <c r="N137" s="7">
        <v>775.0</v>
      </c>
    </row>
    <row r="138" ht="15.75" customHeight="1">
      <c r="B138" s="7" t="s">
        <v>748</v>
      </c>
      <c r="C138" s="7" t="s">
        <v>749</v>
      </c>
      <c r="D138" s="7">
        <v>400.0</v>
      </c>
      <c r="E138" s="7">
        <v>400.0</v>
      </c>
      <c r="F138" s="7">
        <v>0.0</v>
      </c>
      <c r="G138" s="7">
        <v>0.0</v>
      </c>
      <c r="H138" s="7">
        <v>0.0</v>
      </c>
      <c r="I138" s="7">
        <v>0.0</v>
      </c>
      <c r="J138" s="7">
        <v>400.0</v>
      </c>
      <c r="L138" s="7">
        <f t="shared" ref="L138:N138" si="19">SUM(L130:L137)</f>
        <v>12265</v>
      </c>
      <c r="M138" s="7">
        <f t="shared" si="19"/>
        <v>7525</v>
      </c>
      <c r="N138" s="7">
        <f t="shared" si="19"/>
        <v>4745</v>
      </c>
    </row>
    <row r="139" ht="15.75" customHeight="1">
      <c r="B139" s="7" t="s">
        <v>750</v>
      </c>
      <c r="C139" s="7" t="s">
        <v>751</v>
      </c>
      <c r="D139" s="7">
        <v>300.0</v>
      </c>
      <c r="E139" s="7">
        <v>300.0</v>
      </c>
      <c r="F139" s="7">
        <v>0.0</v>
      </c>
      <c r="G139" s="7">
        <v>0.0</v>
      </c>
      <c r="H139" s="7">
        <v>0.0</v>
      </c>
      <c r="I139" s="7">
        <v>0.0</v>
      </c>
      <c r="J139" s="7">
        <v>300.0</v>
      </c>
    </row>
    <row r="140" ht="15.75" customHeight="1">
      <c r="B140" s="7" t="s">
        <v>697</v>
      </c>
      <c r="C140" s="7" t="s">
        <v>294</v>
      </c>
      <c r="D140" s="7">
        <v>300.0</v>
      </c>
      <c r="E140" s="7">
        <v>300.0</v>
      </c>
      <c r="F140" s="7">
        <v>0.0</v>
      </c>
      <c r="G140" s="7">
        <v>0.0</v>
      </c>
      <c r="H140" s="7">
        <v>0.0</v>
      </c>
      <c r="I140" s="7">
        <v>0.0</v>
      </c>
      <c r="J140" s="7">
        <v>300.0</v>
      </c>
    </row>
    <row r="141" ht="15.75" customHeight="1">
      <c r="B141" s="7" t="s">
        <v>752</v>
      </c>
      <c r="C141" s="7" t="s">
        <v>753</v>
      </c>
      <c r="D141" s="7">
        <v>200.0</v>
      </c>
      <c r="E141" s="7">
        <v>0.0</v>
      </c>
      <c r="F141" s="7">
        <v>200.0</v>
      </c>
      <c r="G141" s="7">
        <v>0.0</v>
      </c>
      <c r="H141" s="7">
        <v>0.0</v>
      </c>
      <c r="I141" s="7">
        <v>200.0</v>
      </c>
      <c r="J141" s="7">
        <v>0.0</v>
      </c>
    </row>
    <row r="142" ht="15.75" customHeight="1">
      <c r="D142" s="7">
        <f t="shared" ref="D142:E142" si="20">SUM(D136:D141)</f>
        <v>2000</v>
      </c>
      <c r="E142" s="7">
        <f t="shared" si="20"/>
        <v>1300</v>
      </c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</row>
    <row r="144" ht="15.75" customHeight="1">
      <c r="A144" s="8">
        <v>45481.0</v>
      </c>
      <c r="B144" s="7" t="s">
        <v>27</v>
      </c>
      <c r="C144" s="7" t="s">
        <v>388</v>
      </c>
      <c r="D144" s="7">
        <v>150.0</v>
      </c>
      <c r="E144" s="7">
        <v>150.0</v>
      </c>
      <c r="F144" s="7">
        <v>0.0</v>
      </c>
      <c r="G144" s="7">
        <v>0.0</v>
      </c>
      <c r="H144" s="7">
        <v>0.0</v>
      </c>
      <c r="I144" s="7">
        <v>0.0</v>
      </c>
      <c r="J144" s="7">
        <v>150.0</v>
      </c>
    </row>
    <row r="145" ht="15.75" customHeight="1">
      <c r="B145" s="7" t="s">
        <v>630</v>
      </c>
      <c r="C145" s="7" t="s">
        <v>747</v>
      </c>
      <c r="D145" s="7">
        <v>300.0</v>
      </c>
      <c r="E145" s="7">
        <v>300.0</v>
      </c>
      <c r="F145" s="7">
        <v>0.0</v>
      </c>
      <c r="G145" s="7">
        <v>0.0</v>
      </c>
      <c r="H145" s="7">
        <v>0.0</v>
      </c>
      <c r="I145" s="7">
        <v>0.0</v>
      </c>
      <c r="J145" s="7">
        <v>300.0</v>
      </c>
    </row>
    <row r="146" ht="15.75" customHeight="1">
      <c r="B146" s="7" t="s">
        <v>754</v>
      </c>
      <c r="C146" s="7" t="s">
        <v>755</v>
      </c>
      <c r="D146" s="7">
        <v>200.0</v>
      </c>
      <c r="E146" s="7">
        <v>200.0</v>
      </c>
      <c r="F146" s="7">
        <v>0.0</v>
      </c>
      <c r="G146" s="7">
        <v>0.0</v>
      </c>
      <c r="H146" s="7">
        <v>0.0</v>
      </c>
      <c r="I146" s="7">
        <v>0.0</v>
      </c>
      <c r="J146" s="7">
        <v>200.0</v>
      </c>
    </row>
    <row r="147" ht="15.75" customHeight="1">
      <c r="B147" s="7" t="s">
        <v>756</v>
      </c>
      <c r="C147" s="7" t="s">
        <v>176</v>
      </c>
      <c r="D147" s="7">
        <v>300.0</v>
      </c>
      <c r="E147" s="7">
        <v>0.0</v>
      </c>
      <c r="F147" s="7">
        <v>300.0</v>
      </c>
      <c r="G147" s="7">
        <v>0.0</v>
      </c>
      <c r="H147" s="7">
        <v>0.0</v>
      </c>
      <c r="I147" s="7">
        <v>0.0</v>
      </c>
      <c r="J147" s="7">
        <v>300.0</v>
      </c>
    </row>
    <row r="148" ht="15.75" customHeight="1">
      <c r="B148" s="7" t="s">
        <v>757</v>
      </c>
      <c r="C148" s="7" t="s">
        <v>758</v>
      </c>
      <c r="D148" s="7">
        <v>250.0</v>
      </c>
      <c r="E148" s="7">
        <v>0.0</v>
      </c>
      <c r="F148" s="7">
        <v>250.0</v>
      </c>
      <c r="G148" s="7">
        <v>0.0</v>
      </c>
      <c r="H148" s="7">
        <v>0.0</v>
      </c>
      <c r="I148" s="7">
        <v>0.0</v>
      </c>
      <c r="J148" s="7">
        <v>250.0</v>
      </c>
    </row>
    <row r="149" ht="15.75" customHeight="1">
      <c r="B149" s="7" t="s">
        <v>759</v>
      </c>
      <c r="C149" s="7" t="s">
        <v>760</v>
      </c>
      <c r="D149" s="7">
        <v>400.0</v>
      </c>
      <c r="E149" s="7">
        <v>0.0</v>
      </c>
      <c r="F149" s="7">
        <v>400.0</v>
      </c>
      <c r="G149" s="7">
        <v>0.0</v>
      </c>
      <c r="H149" s="7">
        <v>0.0</v>
      </c>
      <c r="I149" s="7">
        <v>0.0</v>
      </c>
      <c r="J149" s="7">
        <v>400.0</v>
      </c>
    </row>
    <row r="150" ht="15.75" customHeight="1">
      <c r="D150" s="7">
        <f t="shared" ref="D150:J150" si="21">SUM(D144:D149)</f>
        <v>1600</v>
      </c>
      <c r="E150" s="7">
        <f t="shared" si="21"/>
        <v>650</v>
      </c>
      <c r="F150" s="7">
        <f t="shared" si="21"/>
        <v>950</v>
      </c>
      <c r="G150" s="7">
        <f t="shared" si="21"/>
        <v>0</v>
      </c>
      <c r="H150" s="7">
        <f t="shared" si="21"/>
        <v>0</v>
      </c>
      <c r="I150" s="7">
        <f t="shared" si="21"/>
        <v>0</v>
      </c>
      <c r="J150" s="7">
        <f t="shared" si="21"/>
        <v>1600</v>
      </c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</row>
    <row r="153" ht="15.75" customHeight="1">
      <c r="A153" s="7" t="s">
        <v>761</v>
      </c>
      <c r="B153" s="7" t="s">
        <v>762</v>
      </c>
      <c r="C153" s="7" t="s">
        <v>763</v>
      </c>
      <c r="D153" s="7">
        <v>185.0</v>
      </c>
      <c r="E153" s="7">
        <v>0.0</v>
      </c>
      <c r="F153" s="7">
        <v>185.0</v>
      </c>
      <c r="G153" s="7">
        <v>0.0</v>
      </c>
      <c r="H153" s="7">
        <v>0.0</v>
      </c>
      <c r="I153" s="7">
        <v>0.0</v>
      </c>
      <c r="J153" s="7">
        <v>185.0</v>
      </c>
    </row>
    <row r="154" ht="15.75" customHeight="1">
      <c r="B154" s="7" t="s">
        <v>764</v>
      </c>
      <c r="C154" s="7" t="s">
        <v>765</v>
      </c>
      <c r="D154" s="7">
        <v>300.0</v>
      </c>
      <c r="E154" s="7">
        <v>0.0</v>
      </c>
      <c r="F154" s="7">
        <v>300.0</v>
      </c>
      <c r="G154" s="7">
        <v>0.0</v>
      </c>
      <c r="H154" s="7">
        <v>0.0</v>
      </c>
      <c r="I154" s="7">
        <v>0.0</v>
      </c>
      <c r="J154" s="7">
        <v>300.0</v>
      </c>
    </row>
    <row r="155" ht="15.75" customHeight="1">
      <c r="B155" s="7" t="s">
        <v>766</v>
      </c>
      <c r="C155" s="7" t="s">
        <v>515</v>
      </c>
      <c r="D155" s="7">
        <v>35.0</v>
      </c>
      <c r="E155" s="7">
        <v>0.0</v>
      </c>
      <c r="F155" s="7">
        <v>35.0</v>
      </c>
      <c r="G155" s="7">
        <v>0.0</v>
      </c>
      <c r="H155" s="7">
        <v>0.0</v>
      </c>
      <c r="I155" s="7">
        <v>0.0</v>
      </c>
      <c r="J155" s="7">
        <v>35.0</v>
      </c>
    </row>
    <row r="156" ht="15.75" customHeight="1">
      <c r="D156" s="7">
        <f>SUM(D153:D155)</f>
        <v>520</v>
      </c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</row>
    <row r="158" ht="15.75" customHeight="1">
      <c r="A158" s="25">
        <v>45488.0</v>
      </c>
      <c r="B158" s="7" t="s">
        <v>767</v>
      </c>
      <c r="C158" s="7" t="s">
        <v>768</v>
      </c>
      <c r="D158" s="7">
        <v>600.0</v>
      </c>
      <c r="E158" s="7">
        <v>600.0</v>
      </c>
      <c r="F158" s="7">
        <v>0.0</v>
      </c>
      <c r="G158" s="7">
        <v>0.0</v>
      </c>
      <c r="H158" s="7">
        <v>0.0</v>
      </c>
      <c r="I158" s="7">
        <v>0.0</v>
      </c>
      <c r="J158" s="7">
        <v>600.0</v>
      </c>
    </row>
    <row r="159" ht="15.75" customHeight="1">
      <c r="B159" s="7" t="s">
        <v>769</v>
      </c>
      <c r="C159" s="7" t="s">
        <v>770</v>
      </c>
      <c r="D159" s="7">
        <v>350.0</v>
      </c>
      <c r="E159" s="7">
        <v>0.0</v>
      </c>
      <c r="F159" s="7">
        <v>350.0</v>
      </c>
      <c r="G159" s="7">
        <v>0.0</v>
      </c>
      <c r="H159" s="7">
        <v>0.0</v>
      </c>
      <c r="I159" s="7">
        <v>0.0</v>
      </c>
      <c r="J159" s="7">
        <v>350.0</v>
      </c>
    </row>
    <row r="160" ht="15.75" customHeight="1">
      <c r="B160" s="7" t="s">
        <v>463</v>
      </c>
      <c r="C160" s="7" t="s">
        <v>771</v>
      </c>
      <c r="D160" s="7">
        <v>700.0</v>
      </c>
      <c r="E160" s="7">
        <v>500.0</v>
      </c>
      <c r="F160" s="7">
        <v>200.0</v>
      </c>
      <c r="G160" s="7">
        <v>0.0</v>
      </c>
      <c r="H160" s="7">
        <v>0.0</v>
      </c>
      <c r="I160" s="7">
        <v>0.0</v>
      </c>
      <c r="J160" s="7">
        <v>700.0</v>
      </c>
    </row>
    <row r="161" ht="15.75" customHeight="1">
      <c r="B161" s="7" t="s">
        <v>641</v>
      </c>
      <c r="C161" s="7" t="s">
        <v>772</v>
      </c>
      <c r="D161" s="7">
        <v>600.0</v>
      </c>
      <c r="E161" s="7">
        <v>600.0</v>
      </c>
      <c r="F161" s="7">
        <v>0.0</v>
      </c>
      <c r="G161" s="7">
        <v>0.0</v>
      </c>
      <c r="H161" s="7">
        <v>0.0</v>
      </c>
      <c r="I161" s="7">
        <v>0.0</v>
      </c>
      <c r="J161" s="7">
        <v>600.0</v>
      </c>
    </row>
    <row r="162" ht="15.75" customHeight="1">
      <c r="B162" s="7" t="s">
        <v>567</v>
      </c>
      <c r="C162" s="7" t="s">
        <v>773</v>
      </c>
      <c r="D162" s="7">
        <v>700.0</v>
      </c>
      <c r="E162" s="7">
        <v>0.0</v>
      </c>
      <c r="F162" s="7">
        <v>700.0</v>
      </c>
      <c r="G162" s="7">
        <v>0.0</v>
      </c>
      <c r="H162" s="7">
        <v>0.0</v>
      </c>
      <c r="I162" s="7">
        <v>0.0</v>
      </c>
      <c r="J162" s="7">
        <v>700.0</v>
      </c>
    </row>
    <row r="163" ht="15.75" customHeight="1">
      <c r="D163" s="7">
        <f t="shared" ref="D163:F163" si="22">SUM(D158:D162)</f>
        <v>2950</v>
      </c>
      <c r="E163" s="7">
        <f t="shared" si="22"/>
        <v>1700</v>
      </c>
      <c r="F163" s="7">
        <f t="shared" si="22"/>
        <v>1250</v>
      </c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</row>
    <row r="165" ht="15.75" customHeight="1">
      <c r="A165" s="25">
        <v>45489.0</v>
      </c>
      <c r="B165" s="7" t="s">
        <v>774</v>
      </c>
      <c r="C165" s="7" t="s">
        <v>775</v>
      </c>
      <c r="D165" s="7">
        <v>600.0</v>
      </c>
      <c r="E165" s="7">
        <v>300.0</v>
      </c>
      <c r="F165" s="7">
        <v>300.0</v>
      </c>
      <c r="G165" s="7">
        <v>0.0</v>
      </c>
      <c r="H165" s="7">
        <v>0.0</v>
      </c>
      <c r="I165" s="7">
        <v>0.0</v>
      </c>
      <c r="J165" s="7">
        <v>600.0</v>
      </c>
    </row>
    <row r="166" ht="15.75" customHeight="1">
      <c r="B166" s="7" t="s">
        <v>776</v>
      </c>
      <c r="C166" s="7" t="s">
        <v>777</v>
      </c>
      <c r="D166" s="7">
        <v>200.0</v>
      </c>
      <c r="E166" s="7">
        <v>0.0</v>
      </c>
      <c r="F166" s="7">
        <v>200.0</v>
      </c>
      <c r="G166" s="7">
        <v>0.0</v>
      </c>
      <c r="H166" s="7">
        <v>0.0</v>
      </c>
      <c r="I166" s="7">
        <v>0.0</v>
      </c>
      <c r="J166" s="7">
        <v>200.0</v>
      </c>
    </row>
    <row r="167" ht="15.75" customHeight="1">
      <c r="B167" s="7" t="s">
        <v>252</v>
      </c>
      <c r="C167" s="7" t="s">
        <v>778</v>
      </c>
      <c r="D167" s="7">
        <v>40.0</v>
      </c>
      <c r="E167" s="7">
        <v>0.0</v>
      </c>
      <c r="F167" s="7">
        <v>40.0</v>
      </c>
      <c r="G167" s="7">
        <v>0.0</v>
      </c>
      <c r="H167" s="7">
        <v>0.0</v>
      </c>
      <c r="I167" s="7">
        <v>0.0</v>
      </c>
      <c r="J167" s="7">
        <v>40.0</v>
      </c>
    </row>
    <row r="168" ht="15.75" customHeight="1">
      <c r="D168" s="7">
        <f t="shared" ref="D168:F168" si="23">SUM(D165:D167)</f>
        <v>840</v>
      </c>
      <c r="E168" s="7">
        <f t="shared" si="23"/>
        <v>300</v>
      </c>
      <c r="F168" s="7">
        <f t="shared" si="23"/>
        <v>540</v>
      </c>
      <c r="J168" s="7">
        <f>SUM(J165:J167)</f>
        <v>840</v>
      </c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</row>
    <row r="170" ht="15.75" customHeight="1">
      <c r="A170" s="25">
        <v>45490.0</v>
      </c>
      <c r="B170" s="7" t="s">
        <v>779</v>
      </c>
      <c r="C170" s="7" t="s">
        <v>780</v>
      </c>
      <c r="D170" s="7">
        <v>550.0</v>
      </c>
      <c r="E170" s="7">
        <v>250.0</v>
      </c>
      <c r="F170" s="7">
        <v>0.0</v>
      </c>
      <c r="G170" s="7">
        <v>0.0</v>
      </c>
      <c r="H170" s="7">
        <v>0.0</v>
      </c>
      <c r="I170" s="7">
        <v>0.0</v>
      </c>
      <c r="J170" s="7">
        <v>550.0</v>
      </c>
    </row>
    <row r="171" ht="15.75" customHeight="1">
      <c r="B171" s="7" t="s">
        <v>672</v>
      </c>
      <c r="C171" s="7" t="s">
        <v>781</v>
      </c>
      <c r="D171" s="7">
        <v>200.0</v>
      </c>
      <c r="E171" s="7">
        <v>200.0</v>
      </c>
      <c r="F171" s="7">
        <v>0.0</v>
      </c>
      <c r="G171" s="7">
        <v>0.0</v>
      </c>
      <c r="H171" s="7">
        <v>0.0</v>
      </c>
      <c r="I171" s="7">
        <v>0.0</v>
      </c>
      <c r="J171" s="7">
        <v>200.0</v>
      </c>
    </row>
    <row r="172" ht="15.75" customHeight="1">
      <c r="B172" s="7" t="s">
        <v>782</v>
      </c>
      <c r="C172" s="7" t="s">
        <v>783</v>
      </c>
      <c r="D172" s="7">
        <v>400.0</v>
      </c>
      <c r="E172" s="7">
        <v>0.0</v>
      </c>
      <c r="F172" s="7">
        <v>400.0</v>
      </c>
      <c r="G172" s="7">
        <v>0.0</v>
      </c>
      <c r="H172" s="7">
        <v>0.0</v>
      </c>
      <c r="I172" s="7">
        <v>0.0</v>
      </c>
      <c r="J172" s="7">
        <v>400.0</v>
      </c>
    </row>
    <row r="173" ht="15.75" customHeight="1">
      <c r="B173" s="7" t="s">
        <v>784</v>
      </c>
      <c r="C173" s="7" t="s">
        <v>785</v>
      </c>
      <c r="D173" s="7">
        <v>680.0</v>
      </c>
      <c r="E173" s="7">
        <v>0.0</v>
      </c>
      <c r="F173" s="7">
        <v>680.0</v>
      </c>
      <c r="G173" s="7">
        <v>0.0</v>
      </c>
      <c r="H173" s="7">
        <v>0.0</v>
      </c>
      <c r="I173" s="7">
        <v>0.0</v>
      </c>
      <c r="J173" s="7">
        <v>680.0</v>
      </c>
    </row>
    <row r="174" ht="15.75" customHeight="1">
      <c r="D174" s="7">
        <f t="shared" ref="D174:F174" si="24">SUM(D170:D173)</f>
        <v>1830</v>
      </c>
      <c r="E174" s="7">
        <f t="shared" si="24"/>
        <v>450</v>
      </c>
      <c r="F174" s="7">
        <f t="shared" si="24"/>
        <v>1080</v>
      </c>
      <c r="J174" s="7">
        <f>SUM(J170:J173)</f>
        <v>1830</v>
      </c>
    </row>
    <row r="175" ht="15.75" customHeight="1">
      <c r="D175" s="7" t="s">
        <v>65</v>
      </c>
      <c r="E175" s="7" t="s">
        <v>19</v>
      </c>
      <c r="F175" s="7" t="s">
        <v>20</v>
      </c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</row>
    <row r="177" ht="15.75" customHeight="1">
      <c r="B177" s="7" t="s">
        <v>632</v>
      </c>
      <c r="C177" s="7" t="s">
        <v>786</v>
      </c>
      <c r="D177" s="7">
        <v>500.0</v>
      </c>
      <c r="E177" s="7">
        <v>500.0</v>
      </c>
      <c r="F177" s="7">
        <v>0.0</v>
      </c>
      <c r="G177" s="7">
        <v>0.0</v>
      </c>
      <c r="H177" s="7">
        <v>0.0</v>
      </c>
      <c r="I177" s="7">
        <v>0.0</v>
      </c>
      <c r="J177" s="7">
        <v>500.0</v>
      </c>
    </row>
    <row r="178" ht="15.75" customHeight="1">
      <c r="B178" s="7" t="s">
        <v>692</v>
      </c>
      <c r="C178" s="7" t="s">
        <v>787</v>
      </c>
      <c r="D178" s="7">
        <v>200.0</v>
      </c>
      <c r="E178" s="7">
        <v>200.0</v>
      </c>
      <c r="F178" s="7">
        <v>0.0</v>
      </c>
      <c r="G178" s="7">
        <v>0.0</v>
      </c>
      <c r="H178" s="7">
        <v>0.0</v>
      </c>
      <c r="I178" s="7">
        <v>0.0</v>
      </c>
      <c r="J178" s="7">
        <v>200.0</v>
      </c>
    </row>
    <row r="179" ht="15.75" customHeight="1">
      <c r="B179" s="7" t="s">
        <v>527</v>
      </c>
      <c r="C179" s="7" t="s">
        <v>788</v>
      </c>
      <c r="D179" s="7">
        <v>20.0</v>
      </c>
      <c r="E179" s="7">
        <v>0.0</v>
      </c>
      <c r="F179" s="7">
        <v>20.0</v>
      </c>
      <c r="G179" s="7">
        <v>0.0</v>
      </c>
      <c r="H179" s="7">
        <v>0.0</v>
      </c>
      <c r="I179" s="7">
        <v>0.0</v>
      </c>
      <c r="J179" s="7">
        <v>20.0</v>
      </c>
    </row>
    <row r="180" ht="15.75" customHeight="1">
      <c r="B180" s="7" t="s">
        <v>557</v>
      </c>
      <c r="C180" s="7" t="s">
        <v>789</v>
      </c>
      <c r="D180" s="7">
        <v>400.0</v>
      </c>
      <c r="E180" s="7">
        <v>350.0</v>
      </c>
      <c r="F180" s="7">
        <v>50.0</v>
      </c>
      <c r="G180" s="7">
        <v>0.0</v>
      </c>
      <c r="H180" s="7">
        <v>0.0</v>
      </c>
      <c r="I180" s="7">
        <v>0.0</v>
      </c>
      <c r="J180" s="7">
        <v>400.0</v>
      </c>
    </row>
    <row r="181" ht="15.75" customHeight="1">
      <c r="B181" s="7" t="s">
        <v>741</v>
      </c>
      <c r="C181" s="7" t="s">
        <v>790</v>
      </c>
      <c r="D181" s="7">
        <v>250.0</v>
      </c>
      <c r="E181" s="7">
        <v>0.0</v>
      </c>
      <c r="F181" s="7">
        <v>250.0</v>
      </c>
      <c r="G181" s="7">
        <v>0.0</v>
      </c>
      <c r="H181" s="7">
        <v>0.0</v>
      </c>
      <c r="I181" s="7">
        <v>0.0</v>
      </c>
      <c r="J181" s="7">
        <v>250.0</v>
      </c>
    </row>
    <row r="182" ht="15.75" customHeight="1">
      <c r="D182" s="7">
        <f t="shared" ref="D182:F182" si="25">SUM(D177:D181)</f>
        <v>1370</v>
      </c>
      <c r="E182" s="7">
        <f t="shared" si="25"/>
        <v>1050</v>
      </c>
      <c r="F182" s="7">
        <f t="shared" si="25"/>
        <v>320</v>
      </c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</row>
    <row r="184" ht="15.75" customHeight="1">
      <c r="A184" s="25">
        <v>45496.0</v>
      </c>
      <c r="B184" s="7" t="s">
        <v>190</v>
      </c>
      <c r="C184" s="7" t="s">
        <v>791</v>
      </c>
      <c r="D184" s="7">
        <v>200.0</v>
      </c>
      <c r="E184" s="7">
        <v>0.0</v>
      </c>
      <c r="F184" s="7">
        <v>200.0</v>
      </c>
      <c r="G184" s="7">
        <v>0.0</v>
      </c>
      <c r="H184" s="7">
        <v>0.0</v>
      </c>
      <c r="I184" s="7">
        <v>0.0</v>
      </c>
      <c r="J184" s="7">
        <v>200.0</v>
      </c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</row>
    <row r="186" ht="15.75" customHeight="1">
      <c r="A186" s="25">
        <v>45497.0</v>
      </c>
      <c r="B186" s="7" t="s">
        <v>792</v>
      </c>
      <c r="C186" s="7" t="s">
        <v>793</v>
      </c>
      <c r="D186" s="7">
        <v>1100.0</v>
      </c>
      <c r="E186" s="7">
        <v>1100.0</v>
      </c>
      <c r="F186" s="7">
        <v>0.0</v>
      </c>
      <c r="G186" s="7">
        <v>0.0</v>
      </c>
      <c r="H186" s="7">
        <v>0.0</v>
      </c>
      <c r="I186" s="7">
        <v>0.0</v>
      </c>
      <c r="J186" s="7">
        <v>1100.0</v>
      </c>
    </row>
    <row r="187" ht="15.75" customHeight="1">
      <c r="B187" s="7" t="s">
        <v>573</v>
      </c>
      <c r="C187" s="7" t="s">
        <v>794</v>
      </c>
      <c r="D187" s="7">
        <v>100.0</v>
      </c>
      <c r="E187" s="7">
        <v>100.0</v>
      </c>
      <c r="F187" s="7">
        <v>0.0</v>
      </c>
      <c r="G187" s="7">
        <v>0.0</v>
      </c>
      <c r="H187" s="7">
        <v>0.0</v>
      </c>
      <c r="I187" s="7">
        <v>0.0</v>
      </c>
      <c r="J187" s="7">
        <v>100.0</v>
      </c>
    </row>
    <row r="188" ht="15.75" customHeight="1">
      <c r="B188" s="7" t="s">
        <v>188</v>
      </c>
      <c r="C188" s="7" t="s">
        <v>795</v>
      </c>
      <c r="D188" s="7">
        <v>400.0</v>
      </c>
      <c r="E188" s="7">
        <v>400.0</v>
      </c>
      <c r="F188" s="7">
        <v>0.0</v>
      </c>
      <c r="G188" s="7">
        <v>0.0</v>
      </c>
      <c r="H188" s="7">
        <v>0.0</v>
      </c>
      <c r="I188" s="7">
        <v>0.0</v>
      </c>
      <c r="J188" s="7">
        <v>400.0</v>
      </c>
    </row>
    <row r="189" ht="15.75" customHeight="1">
      <c r="B189" s="7" t="s">
        <v>796</v>
      </c>
      <c r="C189" s="7" t="s">
        <v>797</v>
      </c>
      <c r="D189" s="7">
        <v>200.0</v>
      </c>
      <c r="E189" s="7">
        <v>200.0</v>
      </c>
      <c r="F189" s="7">
        <v>0.0</v>
      </c>
      <c r="G189" s="7">
        <v>0.0</v>
      </c>
      <c r="H189" s="7">
        <v>0.0</v>
      </c>
      <c r="I189" s="7">
        <v>0.0</v>
      </c>
      <c r="J189" s="7">
        <v>250.0</v>
      </c>
    </row>
    <row r="190" ht="15.75" customHeight="1">
      <c r="B190" s="7" t="s">
        <v>798</v>
      </c>
      <c r="C190" s="7" t="s">
        <v>121</v>
      </c>
      <c r="D190" s="7">
        <v>300.0</v>
      </c>
      <c r="E190" s="7">
        <v>300.0</v>
      </c>
      <c r="F190" s="7">
        <v>0.0</v>
      </c>
      <c r="G190" s="7">
        <v>0.0</v>
      </c>
      <c r="H190" s="7">
        <v>0.0</v>
      </c>
      <c r="I190" s="7">
        <v>0.0</v>
      </c>
      <c r="J190" s="7">
        <v>300.0</v>
      </c>
    </row>
    <row r="191" ht="15.75" customHeight="1">
      <c r="B191" s="7" t="s">
        <v>799</v>
      </c>
      <c r="D191" s="7">
        <v>50.0</v>
      </c>
      <c r="E191" s="7">
        <v>0.0</v>
      </c>
      <c r="F191" s="7">
        <v>50.0</v>
      </c>
      <c r="G191" s="7">
        <v>0.0</v>
      </c>
      <c r="H191" s="7">
        <v>0.0</v>
      </c>
      <c r="I191" s="7">
        <v>0.0</v>
      </c>
      <c r="J191" s="7">
        <v>300.0</v>
      </c>
    </row>
    <row r="192" ht="15.75" customHeight="1">
      <c r="D192" s="7">
        <f t="shared" ref="D192:F192" si="26">SUM(D186:D191)</f>
        <v>2150</v>
      </c>
      <c r="E192" s="7">
        <f t="shared" si="26"/>
        <v>2100</v>
      </c>
      <c r="F192" s="7">
        <f t="shared" si="26"/>
        <v>50</v>
      </c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</row>
    <row r="194" ht="15.75" customHeight="1">
      <c r="A194" s="25">
        <v>45498.0</v>
      </c>
      <c r="B194" s="7" t="s">
        <v>800</v>
      </c>
      <c r="C194" s="7" t="s">
        <v>801</v>
      </c>
      <c r="D194" s="7">
        <v>35.0</v>
      </c>
      <c r="E194" s="7">
        <v>0.0</v>
      </c>
      <c r="F194" s="7">
        <v>35.0</v>
      </c>
      <c r="G194" s="7">
        <v>0.0</v>
      </c>
      <c r="H194" s="7">
        <v>0.0</v>
      </c>
      <c r="I194" s="7">
        <v>0.0</v>
      </c>
      <c r="J194" s="7">
        <v>35.0</v>
      </c>
    </row>
    <row r="195" ht="15.75" customHeight="1">
      <c r="B195" s="7" t="s">
        <v>567</v>
      </c>
      <c r="C195" s="7" t="s">
        <v>802</v>
      </c>
      <c r="D195" s="7">
        <v>200.0</v>
      </c>
      <c r="E195" s="7">
        <v>0.0</v>
      </c>
      <c r="F195" s="7">
        <v>200.0</v>
      </c>
      <c r="G195" s="7">
        <v>0.0</v>
      </c>
      <c r="H195" s="7">
        <v>0.0</v>
      </c>
      <c r="I195" s="7">
        <v>0.0</v>
      </c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</row>
    <row r="197" ht="15.75" customHeight="1">
      <c r="A197" s="25">
        <v>45499.0</v>
      </c>
      <c r="B197" s="7" t="s">
        <v>27</v>
      </c>
      <c r="C197" s="7" t="s">
        <v>803</v>
      </c>
      <c r="D197" s="7">
        <v>450.0</v>
      </c>
      <c r="E197" s="7">
        <v>0.0</v>
      </c>
      <c r="F197" s="7">
        <v>450.0</v>
      </c>
      <c r="G197" s="7">
        <v>0.0</v>
      </c>
      <c r="H197" s="7">
        <v>0.0</v>
      </c>
      <c r="I197" s="7">
        <v>0.0</v>
      </c>
      <c r="J197" s="7">
        <v>450.0</v>
      </c>
    </row>
    <row r="198" ht="15.75" customHeight="1">
      <c r="B198" s="7" t="s">
        <v>612</v>
      </c>
      <c r="C198" s="7" t="s">
        <v>804</v>
      </c>
      <c r="D198" s="7">
        <v>75.0</v>
      </c>
      <c r="E198" s="7">
        <v>0.0</v>
      </c>
      <c r="F198" s="7">
        <v>0.0</v>
      </c>
      <c r="G198" s="7">
        <v>0.0</v>
      </c>
      <c r="H198" s="7">
        <v>0.0</v>
      </c>
      <c r="I198" s="7">
        <v>0.0</v>
      </c>
      <c r="J198" s="7">
        <v>75.0</v>
      </c>
    </row>
    <row r="199" ht="15.75" customHeight="1">
      <c r="B199" s="67" t="s">
        <v>805</v>
      </c>
      <c r="C199" s="7" t="s">
        <v>806</v>
      </c>
      <c r="D199" s="7">
        <v>460.0</v>
      </c>
      <c r="E199" s="7">
        <v>0.0</v>
      </c>
      <c r="F199" s="7">
        <v>460.0</v>
      </c>
      <c r="G199" s="7">
        <v>0.0</v>
      </c>
      <c r="H199" s="7">
        <v>0.0</v>
      </c>
      <c r="I199" s="7">
        <v>0.0</v>
      </c>
      <c r="J199" s="7">
        <v>460.0</v>
      </c>
    </row>
    <row r="200" ht="15.75" customHeight="1">
      <c r="B200" s="7" t="s">
        <v>61</v>
      </c>
      <c r="C200" s="7" t="s">
        <v>807</v>
      </c>
      <c r="D200" s="7">
        <v>200.0</v>
      </c>
      <c r="E200" s="7">
        <v>0.0</v>
      </c>
      <c r="F200" s="7">
        <v>200.0</v>
      </c>
      <c r="G200" s="7">
        <v>0.0</v>
      </c>
      <c r="H200" s="7">
        <v>0.0</v>
      </c>
      <c r="I200" s="7">
        <v>0.0</v>
      </c>
      <c r="J200" s="7">
        <v>200.0</v>
      </c>
    </row>
    <row r="201" ht="15.75" customHeight="1">
      <c r="D201" s="7">
        <f t="shared" ref="D201:F201" si="27">SUM(D197:D200)</f>
        <v>1185</v>
      </c>
      <c r="E201" s="7">
        <f t="shared" si="27"/>
        <v>0</v>
      </c>
      <c r="F201" s="7">
        <f t="shared" si="27"/>
        <v>1110</v>
      </c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</row>
    <row r="203" ht="15.75" customHeight="1">
      <c r="A203" s="25">
        <v>45502.0</v>
      </c>
      <c r="B203" s="7" t="s">
        <v>610</v>
      </c>
      <c r="C203" s="7" t="s">
        <v>808</v>
      </c>
      <c r="D203" s="7">
        <v>300.0</v>
      </c>
      <c r="E203" s="7">
        <v>300.0</v>
      </c>
      <c r="F203" s="7">
        <v>0.0</v>
      </c>
      <c r="G203" s="7">
        <v>0.0</v>
      </c>
      <c r="H203" s="7">
        <v>0.0</v>
      </c>
      <c r="I203" s="7">
        <v>0.0</v>
      </c>
      <c r="J203" s="7">
        <v>300.0</v>
      </c>
    </row>
    <row r="204" ht="15.75" customHeight="1">
      <c r="B204" s="7" t="s">
        <v>173</v>
      </c>
      <c r="C204" s="7" t="s">
        <v>809</v>
      </c>
      <c r="D204" s="7">
        <v>400.0</v>
      </c>
      <c r="E204" s="7">
        <v>400.0</v>
      </c>
      <c r="F204" s="7">
        <v>0.0</v>
      </c>
      <c r="G204" s="7">
        <v>0.0</v>
      </c>
      <c r="H204" s="7">
        <v>0.0</v>
      </c>
      <c r="I204" s="7">
        <v>0.0</v>
      </c>
      <c r="J204" s="7">
        <v>400.0</v>
      </c>
    </row>
    <row r="205" ht="15.75" customHeight="1">
      <c r="B205" s="7" t="s">
        <v>203</v>
      </c>
      <c r="C205" s="7" t="s">
        <v>810</v>
      </c>
      <c r="D205" s="7">
        <v>600.0</v>
      </c>
      <c r="E205" s="7">
        <v>600.0</v>
      </c>
      <c r="F205" s="7">
        <v>0.0</v>
      </c>
      <c r="G205" s="7">
        <v>0.0</v>
      </c>
      <c r="H205" s="7">
        <v>0.0</v>
      </c>
      <c r="I205" s="7">
        <v>0.0</v>
      </c>
      <c r="J205" s="7">
        <v>600.0</v>
      </c>
    </row>
    <row r="206" ht="15.75" customHeight="1">
      <c r="B206" s="7" t="s">
        <v>811</v>
      </c>
      <c r="C206" s="7" t="s">
        <v>812</v>
      </c>
      <c r="D206" s="7">
        <v>400.0</v>
      </c>
      <c r="E206" s="7">
        <v>400.0</v>
      </c>
      <c r="F206" s="7">
        <v>0.0</v>
      </c>
      <c r="G206" s="7">
        <v>0.0</v>
      </c>
      <c r="H206" s="7">
        <v>0.0</v>
      </c>
      <c r="I206" s="7">
        <v>0.0</v>
      </c>
      <c r="J206" s="7">
        <v>400.0</v>
      </c>
    </row>
    <row r="207" ht="15.75" customHeight="1">
      <c r="B207" s="7" t="s">
        <v>813</v>
      </c>
      <c r="C207" s="7" t="s">
        <v>814</v>
      </c>
      <c r="D207" s="7">
        <v>350.0</v>
      </c>
      <c r="E207" s="7">
        <v>350.0</v>
      </c>
      <c r="F207" s="7">
        <v>0.0</v>
      </c>
      <c r="G207" s="7">
        <v>0.0</v>
      </c>
      <c r="H207" s="7">
        <v>0.0</v>
      </c>
      <c r="I207" s="7">
        <v>0.0</v>
      </c>
      <c r="J207" s="7">
        <v>350.0</v>
      </c>
    </row>
    <row r="208" ht="15.75" customHeight="1">
      <c r="D208" s="7">
        <f t="shared" ref="D208:E208" si="28">SUM(D203:D207)</f>
        <v>2050</v>
      </c>
      <c r="E208" s="7">
        <f t="shared" si="28"/>
        <v>2050</v>
      </c>
      <c r="F208" s="7">
        <v>0.0</v>
      </c>
      <c r="G208" s="7">
        <v>0.0</v>
      </c>
      <c r="H208" s="7">
        <v>0.0</v>
      </c>
      <c r="I208" s="7">
        <v>0.0</v>
      </c>
      <c r="J208" s="7">
        <f>SUM(J203:J207)</f>
        <v>2050</v>
      </c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</row>
    <row r="210" ht="15.75" customHeight="1">
      <c r="A210" s="25">
        <v>45503.0</v>
      </c>
      <c r="B210" s="7" t="s">
        <v>122</v>
      </c>
      <c r="C210" s="7" t="s">
        <v>815</v>
      </c>
      <c r="D210" s="7">
        <v>900.0</v>
      </c>
      <c r="E210" s="7">
        <v>0.0</v>
      </c>
      <c r="F210" s="7">
        <v>900.0</v>
      </c>
      <c r="G210" s="7">
        <v>0.0</v>
      </c>
      <c r="H210" s="7">
        <v>0.0</v>
      </c>
      <c r="I210" s="7">
        <v>0.0</v>
      </c>
      <c r="J210" s="7">
        <v>900.0</v>
      </c>
    </row>
    <row r="211" ht="15.75" customHeight="1">
      <c r="B211" s="16" t="s">
        <v>816</v>
      </c>
      <c r="C211" s="7" t="s">
        <v>817</v>
      </c>
      <c r="D211" s="7">
        <v>250.0</v>
      </c>
      <c r="E211" s="7">
        <v>250.0</v>
      </c>
      <c r="F211" s="7">
        <v>0.0</v>
      </c>
      <c r="G211" s="7">
        <v>0.0</v>
      </c>
      <c r="H211" s="7">
        <v>0.0</v>
      </c>
      <c r="I211" s="7">
        <v>0.0</v>
      </c>
      <c r="J211" s="7">
        <v>250.0</v>
      </c>
    </row>
    <row r="212" ht="15.75" customHeight="1">
      <c r="C212" s="7" t="s">
        <v>65</v>
      </c>
      <c r="D212" s="7">
        <f t="shared" ref="D212:F212" si="29">SUM(D210:D211)</f>
        <v>1150</v>
      </c>
      <c r="E212" s="7">
        <f t="shared" si="29"/>
        <v>250</v>
      </c>
      <c r="F212" s="7">
        <f t="shared" si="29"/>
        <v>900</v>
      </c>
      <c r="J212" s="7">
        <f>SUM(J210:J211)</f>
        <v>1150</v>
      </c>
    </row>
    <row r="213" ht="15.75" customHeight="1">
      <c r="A213" s="20"/>
      <c r="B213" s="20"/>
      <c r="C213" s="20"/>
      <c r="D213" s="20" t="s">
        <v>65</v>
      </c>
      <c r="E213" s="20" t="s">
        <v>19</v>
      </c>
      <c r="F213" s="20" t="s">
        <v>20</v>
      </c>
      <c r="G213" s="20"/>
      <c r="H213" s="20"/>
      <c r="I213" s="20"/>
      <c r="J213" s="20"/>
    </row>
    <row r="214" ht="15.75" customHeight="1">
      <c r="A214" s="25">
        <v>45504.0</v>
      </c>
      <c r="B214" s="7" t="s">
        <v>818</v>
      </c>
      <c r="C214" s="7" t="s">
        <v>819</v>
      </c>
      <c r="D214" s="7">
        <v>900.0</v>
      </c>
      <c r="E214" s="7">
        <v>900.0</v>
      </c>
      <c r="F214" s="7">
        <v>0.0</v>
      </c>
      <c r="G214" s="7">
        <v>0.0</v>
      </c>
      <c r="H214" s="7">
        <v>0.0</v>
      </c>
      <c r="I214" s="7">
        <v>0.0</v>
      </c>
      <c r="J214" s="7">
        <v>900.0</v>
      </c>
    </row>
    <row r="215" ht="15.75" customHeight="1">
      <c r="B215" s="7" t="s">
        <v>694</v>
      </c>
      <c r="C215" s="7" t="s">
        <v>820</v>
      </c>
      <c r="D215" s="7">
        <v>175.0</v>
      </c>
      <c r="E215" s="7">
        <v>175.0</v>
      </c>
      <c r="F215" s="7">
        <v>0.0</v>
      </c>
    </row>
    <row r="216" ht="15.75" customHeight="1">
      <c r="B216" s="68" t="s">
        <v>759</v>
      </c>
      <c r="C216" s="7" t="s">
        <v>559</v>
      </c>
      <c r="D216" s="7">
        <v>300.0</v>
      </c>
      <c r="E216" s="7">
        <v>0.0</v>
      </c>
      <c r="F216" s="7">
        <v>300.0</v>
      </c>
    </row>
    <row r="217" ht="15.75" customHeight="1">
      <c r="B217" s="7" t="s">
        <v>266</v>
      </c>
      <c r="C217" s="7" t="s">
        <v>821</v>
      </c>
      <c r="D217" s="7">
        <v>70.0</v>
      </c>
      <c r="E217" s="7">
        <v>0.0</v>
      </c>
      <c r="F217" s="7">
        <v>75.0</v>
      </c>
    </row>
    <row r="218" ht="15.75" customHeight="1">
      <c r="B218" s="7" t="s">
        <v>485</v>
      </c>
      <c r="C218" s="7" t="s">
        <v>822</v>
      </c>
      <c r="D218" s="7">
        <v>400.0</v>
      </c>
      <c r="E218" s="7">
        <v>0.0</v>
      </c>
      <c r="F218" s="7">
        <v>400.0</v>
      </c>
    </row>
    <row r="219" ht="15.75" customHeight="1">
      <c r="D219" s="7">
        <f t="shared" ref="D219:F219" si="30">SUM(D214:D218)</f>
        <v>1845</v>
      </c>
      <c r="E219" s="7">
        <f t="shared" si="30"/>
        <v>1075</v>
      </c>
      <c r="F219" s="7">
        <f t="shared" si="30"/>
        <v>775</v>
      </c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L220" s="28" t="s">
        <v>42</v>
      </c>
    </row>
    <row r="221" ht="15.75" customHeight="1">
      <c r="A221" s="25">
        <v>45505.0</v>
      </c>
      <c r="B221" s="7" t="s">
        <v>823</v>
      </c>
      <c r="C221" s="7" t="s">
        <v>824</v>
      </c>
      <c r="D221" s="7">
        <v>300.0</v>
      </c>
      <c r="E221" s="7">
        <v>0.0</v>
      </c>
      <c r="F221" s="7">
        <v>300.0</v>
      </c>
      <c r="G221" s="7">
        <v>0.0</v>
      </c>
      <c r="H221" s="7">
        <v>0.0</v>
      </c>
      <c r="I221" s="7">
        <v>0.0</v>
      </c>
      <c r="J221" s="7">
        <v>300.0</v>
      </c>
    </row>
    <row r="222" ht="15.75" customHeight="1">
      <c r="B222" s="7" t="s">
        <v>825</v>
      </c>
      <c r="C222" s="7" t="s">
        <v>826</v>
      </c>
      <c r="D222" s="7">
        <v>100.0</v>
      </c>
      <c r="E222" s="7">
        <v>0.0</v>
      </c>
      <c r="F222" s="7">
        <v>100.0</v>
      </c>
      <c r="G222" s="7">
        <v>0.0</v>
      </c>
      <c r="H222" s="7">
        <v>0.0</v>
      </c>
      <c r="I222" s="7">
        <v>0.0</v>
      </c>
      <c r="J222" s="7">
        <v>100.0</v>
      </c>
      <c r="L222" s="7" t="s">
        <v>13</v>
      </c>
      <c r="M222" s="7" t="s">
        <v>10</v>
      </c>
      <c r="N222" s="7" t="s">
        <v>11</v>
      </c>
      <c r="O222" s="7" t="s">
        <v>14</v>
      </c>
    </row>
    <row r="223" ht="15.75" customHeight="1">
      <c r="B223" s="7" t="s">
        <v>827</v>
      </c>
      <c r="C223" s="7" t="s">
        <v>828</v>
      </c>
      <c r="D223" s="7">
        <v>700.0</v>
      </c>
      <c r="E223" s="7">
        <v>0.0</v>
      </c>
      <c r="F223" s="7">
        <v>700.0</v>
      </c>
      <c r="L223" s="7">
        <v>2274.0</v>
      </c>
      <c r="M223" s="7">
        <v>300.0</v>
      </c>
      <c r="N223" s="7">
        <v>1974.29</v>
      </c>
      <c r="O223" s="7">
        <v>0.0</v>
      </c>
    </row>
    <row r="224" ht="15.75" customHeight="1">
      <c r="B224" s="7" t="s">
        <v>829</v>
      </c>
      <c r="C224" s="7" t="s">
        <v>830</v>
      </c>
      <c r="D224" s="7">
        <v>400.0</v>
      </c>
      <c r="E224" s="7">
        <v>0.0</v>
      </c>
      <c r="F224" s="7">
        <v>400.0</v>
      </c>
    </row>
    <row r="225" ht="15.75" customHeight="1">
      <c r="B225" s="7" t="s">
        <v>831</v>
      </c>
      <c r="C225" s="7" t="s">
        <v>832</v>
      </c>
      <c r="D225" s="7">
        <v>300.0</v>
      </c>
      <c r="E225" s="7">
        <v>300.0</v>
      </c>
      <c r="F225" s="7">
        <v>0.0</v>
      </c>
    </row>
    <row r="226" ht="15.75" customHeight="1">
      <c r="B226" s="7" t="s">
        <v>833</v>
      </c>
      <c r="C226" s="7" t="s">
        <v>834</v>
      </c>
      <c r="D226" s="7">
        <v>124.29</v>
      </c>
      <c r="E226" s="7">
        <v>0.0</v>
      </c>
      <c r="F226" s="69">
        <v>124.29</v>
      </c>
    </row>
    <row r="227" ht="15.75" customHeight="1">
      <c r="B227" s="7" t="s">
        <v>835</v>
      </c>
      <c r="D227" s="7">
        <v>350.0</v>
      </c>
      <c r="E227" s="7">
        <v>0.0</v>
      </c>
      <c r="F227" s="7">
        <v>350.0</v>
      </c>
    </row>
    <row r="228" ht="15.75" customHeight="1">
      <c r="D228" s="7">
        <f t="shared" ref="D228:F228" si="31">SUM(D221:D227)</f>
        <v>2274.29</v>
      </c>
      <c r="E228" s="7">
        <f t="shared" si="31"/>
        <v>300</v>
      </c>
      <c r="F228" s="7">
        <f t="shared" si="31"/>
        <v>1974.29</v>
      </c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L229" s="28" t="s">
        <v>45</v>
      </c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</row>
    <row r="231" ht="15.75" customHeight="1">
      <c r="A231" s="25">
        <v>45540.0</v>
      </c>
      <c r="B231" s="7" t="s">
        <v>800</v>
      </c>
      <c r="C231" s="7" t="s">
        <v>836</v>
      </c>
      <c r="D231" s="7">
        <v>600.0</v>
      </c>
      <c r="E231" s="7">
        <v>600.0</v>
      </c>
      <c r="F231" s="7">
        <v>0.0</v>
      </c>
      <c r="G231" s="7">
        <v>0.0</v>
      </c>
      <c r="H231" s="7">
        <v>0.0</v>
      </c>
      <c r="I231" s="7">
        <v>0.0</v>
      </c>
      <c r="J231" s="7">
        <v>600.0</v>
      </c>
      <c r="L231" s="7" t="s">
        <v>13</v>
      </c>
      <c r="M231" s="7" t="s">
        <v>10</v>
      </c>
      <c r="N231" s="7" t="s">
        <v>11</v>
      </c>
      <c r="O231" s="7" t="s">
        <v>14</v>
      </c>
    </row>
    <row r="232" ht="15.75" customHeight="1">
      <c r="B232" s="7" t="s">
        <v>27</v>
      </c>
      <c r="C232" s="7" t="s">
        <v>837</v>
      </c>
      <c r="D232" s="7">
        <v>125.0</v>
      </c>
      <c r="E232" s="7">
        <v>0.0</v>
      </c>
      <c r="F232" s="7">
        <v>125.0</v>
      </c>
      <c r="G232" s="7">
        <v>0.0</v>
      </c>
      <c r="H232" s="7">
        <v>0.0</v>
      </c>
      <c r="I232" s="7">
        <v>0.0</v>
      </c>
      <c r="J232" s="7">
        <v>125.0</v>
      </c>
      <c r="L232" s="7">
        <v>1375.0</v>
      </c>
      <c r="M232" s="7">
        <v>700.0</v>
      </c>
      <c r="N232" s="7">
        <v>675.0</v>
      </c>
      <c r="O232" s="7">
        <v>0.0</v>
      </c>
    </row>
    <row r="233" ht="15.75" customHeight="1">
      <c r="B233" s="7" t="s">
        <v>838</v>
      </c>
      <c r="C233" s="7" t="s">
        <v>839</v>
      </c>
      <c r="D233" s="7">
        <v>100.0</v>
      </c>
      <c r="E233" s="7">
        <v>100.0</v>
      </c>
      <c r="F233" s="7">
        <v>0.0</v>
      </c>
      <c r="G233" s="7">
        <v>0.0</v>
      </c>
      <c r="H233" s="7">
        <v>0.0</v>
      </c>
      <c r="I233" s="7">
        <v>0.0</v>
      </c>
      <c r="J233" s="7">
        <v>100.0</v>
      </c>
      <c r="L233" s="7">
        <v>310.0</v>
      </c>
      <c r="M233" s="7">
        <v>310.0</v>
      </c>
      <c r="N233" s="7">
        <v>0.0</v>
      </c>
      <c r="O233" s="7">
        <v>0.0</v>
      </c>
    </row>
    <row r="234" ht="15.75" customHeight="1">
      <c r="B234" s="7" t="s">
        <v>840</v>
      </c>
      <c r="C234" s="7" t="s">
        <v>841</v>
      </c>
      <c r="D234" s="7">
        <v>200.0</v>
      </c>
      <c r="E234" s="7">
        <v>0.0</v>
      </c>
      <c r="F234" s="7">
        <v>200.0</v>
      </c>
      <c r="G234" s="7">
        <v>0.0</v>
      </c>
      <c r="H234" s="7">
        <v>0.0</v>
      </c>
      <c r="I234" s="7">
        <v>0.0</v>
      </c>
      <c r="J234" s="7">
        <v>200.0</v>
      </c>
      <c r="L234" s="7">
        <v>620.0</v>
      </c>
      <c r="M234" s="7">
        <v>540.0</v>
      </c>
      <c r="N234" s="7">
        <v>80.0</v>
      </c>
      <c r="O234" s="7">
        <v>0.0</v>
      </c>
    </row>
    <row r="235" ht="15.75" customHeight="1">
      <c r="B235" s="7" t="s">
        <v>842</v>
      </c>
      <c r="C235" s="7" t="s">
        <v>448</v>
      </c>
      <c r="D235" s="7">
        <v>350.0</v>
      </c>
      <c r="E235" s="7">
        <v>0.0</v>
      </c>
      <c r="F235" s="7">
        <v>350.0</v>
      </c>
      <c r="G235" s="7">
        <v>0.0</v>
      </c>
      <c r="H235" s="7">
        <v>0.0</v>
      </c>
      <c r="I235" s="7">
        <v>0.0</v>
      </c>
      <c r="J235" s="7">
        <v>350.0</v>
      </c>
      <c r="L235" s="7">
        <v>1610.0</v>
      </c>
      <c r="M235" s="7">
        <v>50.0</v>
      </c>
      <c r="N235" s="7">
        <v>0.0</v>
      </c>
      <c r="O235" s="7">
        <v>750.0</v>
      </c>
    </row>
    <row r="236" ht="15.75" customHeight="1">
      <c r="D236" s="7">
        <f t="shared" ref="D236:F236" si="32">SUM(D231:D235)</f>
        <v>1375</v>
      </c>
      <c r="E236" s="7">
        <f t="shared" si="32"/>
        <v>700</v>
      </c>
      <c r="F236" s="7">
        <f t="shared" si="32"/>
        <v>675</v>
      </c>
      <c r="G236" s="7">
        <v>0.0</v>
      </c>
      <c r="H236" s="7">
        <v>0.0</v>
      </c>
      <c r="I236" s="7">
        <v>0.0</v>
      </c>
      <c r="J236" s="7">
        <f>SUM(J231:J235)</f>
        <v>1375</v>
      </c>
      <c r="L236" s="7">
        <v>435.0</v>
      </c>
      <c r="M236" s="7">
        <v>435.0</v>
      </c>
      <c r="N236" s="7">
        <v>0.0</v>
      </c>
      <c r="O236" s="7">
        <v>0.0</v>
      </c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L237" s="7">
        <v>1950.0</v>
      </c>
      <c r="M237" s="7">
        <v>850.0</v>
      </c>
      <c r="N237" s="7">
        <v>1150.0</v>
      </c>
      <c r="O237" s="7">
        <v>0.0</v>
      </c>
    </row>
    <row r="238" ht="15.75" customHeight="1">
      <c r="A238" s="25">
        <v>45541.0</v>
      </c>
      <c r="B238" s="7" t="s">
        <v>105</v>
      </c>
      <c r="C238" s="7" t="s">
        <v>843</v>
      </c>
      <c r="D238" s="7">
        <v>310.0</v>
      </c>
      <c r="E238" s="7">
        <v>310.0</v>
      </c>
      <c r="F238" s="7">
        <v>0.0</v>
      </c>
      <c r="G238" s="7">
        <v>0.0</v>
      </c>
      <c r="H238" s="7">
        <v>0.0</v>
      </c>
      <c r="I238" s="7">
        <v>300.0</v>
      </c>
      <c r="J238" s="7">
        <v>10.0</v>
      </c>
      <c r="L238" s="7">
        <v>2000.0</v>
      </c>
      <c r="M238" s="7">
        <v>700.0</v>
      </c>
      <c r="N238" s="7">
        <v>1300.0</v>
      </c>
      <c r="O238" s="7">
        <v>0.0</v>
      </c>
    </row>
    <row r="239" ht="15.75" customHeight="1">
      <c r="A239" s="70"/>
      <c r="B239" s="20"/>
      <c r="C239" s="20"/>
      <c r="D239" s="20"/>
      <c r="E239" s="20"/>
      <c r="F239" s="20"/>
      <c r="G239" s="20"/>
      <c r="H239" s="20"/>
      <c r="I239" s="20"/>
      <c r="J239" s="20"/>
      <c r="L239" s="7">
        <v>2100.0</v>
      </c>
      <c r="M239" s="7">
        <v>600.0</v>
      </c>
      <c r="N239" s="7">
        <v>1500.0</v>
      </c>
      <c r="O239" s="7">
        <v>0.0</v>
      </c>
    </row>
    <row r="240" ht="15.75" customHeight="1">
      <c r="A240" s="70"/>
      <c r="B240" s="20"/>
      <c r="C240" s="20"/>
      <c r="D240" s="20" t="s">
        <v>119</v>
      </c>
      <c r="E240" s="20" t="s">
        <v>263</v>
      </c>
      <c r="F240" s="20" t="s">
        <v>264</v>
      </c>
      <c r="G240" s="20"/>
      <c r="H240" s="20"/>
      <c r="I240" s="20"/>
      <c r="J240" s="20"/>
      <c r="L240" s="7">
        <v>1390.0</v>
      </c>
      <c r="M240" s="7">
        <v>500.0</v>
      </c>
      <c r="N240" s="7">
        <v>890.0</v>
      </c>
      <c r="O240" s="7">
        <v>0.0</v>
      </c>
    </row>
    <row r="241" ht="15.75" customHeight="1">
      <c r="A241" s="25">
        <v>45544.0</v>
      </c>
      <c r="B241" s="7" t="s">
        <v>844</v>
      </c>
      <c r="C241" s="7" t="s">
        <v>845</v>
      </c>
      <c r="D241" s="7">
        <v>80.0</v>
      </c>
      <c r="E241" s="7">
        <v>0.0</v>
      </c>
      <c r="F241" s="7">
        <v>80.0</v>
      </c>
      <c r="G241" s="7">
        <v>0.0</v>
      </c>
      <c r="H241" s="7">
        <v>0.0</v>
      </c>
      <c r="I241" s="7">
        <v>80.0</v>
      </c>
      <c r="J241" s="7">
        <v>0.0</v>
      </c>
      <c r="L241" s="7">
        <v>300.0</v>
      </c>
      <c r="M241" s="7">
        <v>200.0</v>
      </c>
      <c r="N241" s="7">
        <v>100.0</v>
      </c>
      <c r="O241" s="7">
        <v>0.0</v>
      </c>
    </row>
    <row r="242" ht="15.75" customHeight="1">
      <c r="B242" s="7" t="s">
        <v>846</v>
      </c>
      <c r="C242" s="7" t="s">
        <v>847</v>
      </c>
      <c r="D242" s="7">
        <v>240.0</v>
      </c>
      <c r="E242" s="7">
        <v>240.0</v>
      </c>
      <c r="F242" s="7">
        <v>0.0</v>
      </c>
      <c r="G242" s="7">
        <v>0.0</v>
      </c>
      <c r="H242" s="7">
        <v>0.0</v>
      </c>
      <c r="I242" s="7">
        <v>200.0</v>
      </c>
      <c r="J242" s="7">
        <v>40.0</v>
      </c>
      <c r="L242" s="7">
        <v>2700.0</v>
      </c>
      <c r="M242" s="7">
        <v>0.0</v>
      </c>
      <c r="N242" s="7">
        <v>2700.0</v>
      </c>
      <c r="O242" s="7">
        <v>0.0</v>
      </c>
    </row>
    <row r="243" ht="15.75" customHeight="1">
      <c r="B243" s="7" t="s">
        <v>848</v>
      </c>
      <c r="C243" s="7" t="s">
        <v>849</v>
      </c>
      <c r="D243" s="7">
        <v>300.0</v>
      </c>
      <c r="E243" s="7">
        <v>300.0</v>
      </c>
      <c r="F243" s="7">
        <v>0.0</v>
      </c>
      <c r="G243" s="7">
        <v>0.0</v>
      </c>
      <c r="H243" s="7">
        <v>0.0</v>
      </c>
      <c r="I243" s="7">
        <v>300.0</v>
      </c>
      <c r="J243" s="7">
        <v>0.0</v>
      </c>
      <c r="L243" s="7">
        <v>1660.0</v>
      </c>
      <c r="M243" s="7">
        <v>280.0</v>
      </c>
      <c r="N243" s="7">
        <v>1380.0</v>
      </c>
      <c r="O243" s="7">
        <v>0.0</v>
      </c>
    </row>
    <row r="244" ht="15.75" customHeight="1">
      <c r="B244" s="7" t="s">
        <v>850</v>
      </c>
      <c r="C244" s="7" t="s">
        <v>851</v>
      </c>
      <c r="L244" s="7">
        <f t="shared" ref="L244:O244" si="33">SUM(L232:L243)</f>
        <v>16450</v>
      </c>
      <c r="M244" s="7">
        <f t="shared" si="33"/>
        <v>5165</v>
      </c>
      <c r="N244" s="7">
        <f t="shared" si="33"/>
        <v>9775</v>
      </c>
      <c r="O244" s="7">
        <f t="shared" si="33"/>
        <v>750</v>
      </c>
    </row>
    <row r="245" ht="15.75" customHeight="1">
      <c r="C245" s="7" t="s">
        <v>65</v>
      </c>
      <c r="D245" s="7">
        <f t="shared" ref="D245:J245" si="34">SUM(D241:D243)</f>
        <v>620</v>
      </c>
      <c r="E245" s="7">
        <f t="shared" si="34"/>
        <v>540</v>
      </c>
      <c r="F245" s="7">
        <f t="shared" si="34"/>
        <v>80</v>
      </c>
      <c r="G245" s="7">
        <f t="shared" si="34"/>
        <v>0</v>
      </c>
      <c r="H245" s="7">
        <f t="shared" si="34"/>
        <v>0</v>
      </c>
      <c r="I245" s="7">
        <f t="shared" si="34"/>
        <v>580</v>
      </c>
      <c r="J245" s="7">
        <f t="shared" si="34"/>
        <v>40</v>
      </c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</row>
    <row r="247" ht="15.75" customHeight="1">
      <c r="A247" s="25">
        <v>45545.0</v>
      </c>
      <c r="B247" s="7" t="s">
        <v>852</v>
      </c>
      <c r="C247" s="7" t="s">
        <v>853</v>
      </c>
      <c r="D247" s="7">
        <v>50.0</v>
      </c>
      <c r="E247" s="7">
        <v>50.0</v>
      </c>
      <c r="F247" s="7">
        <v>0.0</v>
      </c>
      <c r="G247" s="7">
        <v>0.0</v>
      </c>
      <c r="H247" s="7">
        <v>0.0</v>
      </c>
      <c r="I247" s="7">
        <v>50.0</v>
      </c>
      <c r="J247" s="7">
        <v>0.0</v>
      </c>
    </row>
    <row r="248" ht="15.75" customHeight="1">
      <c r="B248" s="7" t="s">
        <v>854</v>
      </c>
      <c r="C248" s="7" t="s">
        <v>855</v>
      </c>
      <c r="D248" s="7">
        <v>1500.0</v>
      </c>
      <c r="E248" s="7">
        <v>0.0</v>
      </c>
      <c r="F248" s="7">
        <v>0.0</v>
      </c>
      <c r="G248" s="7">
        <v>750.0</v>
      </c>
      <c r="H248" s="7">
        <v>0.0</v>
      </c>
      <c r="I248" s="7">
        <v>750.0</v>
      </c>
      <c r="J248" s="7">
        <v>0.0</v>
      </c>
    </row>
    <row r="249" ht="15.75" customHeight="1">
      <c r="B249" s="7" t="s">
        <v>188</v>
      </c>
      <c r="C249" s="7" t="s">
        <v>856</v>
      </c>
      <c r="D249" s="7">
        <v>60.0</v>
      </c>
      <c r="E249" s="7">
        <v>0.0</v>
      </c>
      <c r="F249" s="7">
        <v>60.0</v>
      </c>
      <c r="G249" s="7">
        <v>0.0</v>
      </c>
      <c r="H249" s="7">
        <v>0.0</v>
      </c>
      <c r="I249" s="7">
        <v>60.0</v>
      </c>
      <c r="J249" s="7"/>
    </row>
    <row r="250" ht="15.75" customHeight="1">
      <c r="D250" s="7">
        <f t="shared" ref="D250:E250" si="35">SUM(D247:D249)</f>
        <v>1610</v>
      </c>
      <c r="E250" s="7">
        <f t="shared" si="35"/>
        <v>50</v>
      </c>
      <c r="F250" s="7">
        <f t="shared" ref="F250:J250" si="36">SUM(F247:F248)</f>
        <v>0</v>
      </c>
      <c r="G250" s="7">
        <f t="shared" si="36"/>
        <v>750</v>
      </c>
      <c r="H250" s="7">
        <f t="shared" si="36"/>
        <v>0</v>
      </c>
      <c r="I250" s="7">
        <f t="shared" si="36"/>
        <v>800</v>
      </c>
      <c r="J250" s="7">
        <f t="shared" si="36"/>
        <v>0</v>
      </c>
    </row>
    <row r="251" ht="15.75" customHeight="1"/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</row>
    <row r="253" ht="15.75" customHeight="1">
      <c r="A253" s="25">
        <v>45552.0</v>
      </c>
      <c r="B253" s="7" t="s">
        <v>857</v>
      </c>
      <c r="C253" s="7" t="s">
        <v>858</v>
      </c>
      <c r="D253" s="7">
        <v>400.0</v>
      </c>
      <c r="E253" s="7">
        <v>400.0</v>
      </c>
      <c r="F253" s="7">
        <v>0.0</v>
      </c>
      <c r="G253" s="7">
        <v>0.0</v>
      </c>
      <c r="H253" s="7">
        <v>0.0</v>
      </c>
      <c r="I253" s="7">
        <v>400.0</v>
      </c>
    </row>
    <row r="254" ht="15.75" customHeight="1">
      <c r="B254" s="7" t="s">
        <v>800</v>
      </c>
      <c r="C254" s="7" t="s">
        <v>515</v>
      </c>
      <c r="D254" s="7">
        <v>35.0</v>
      </c>
      <c r="E254" s="7">
        <v>35.0</v>
      </c>
      <c r="F254" s="7">
        <v>0.0</v>
      </c>
      <c r="G254" s="7">
        <v>0.0</v>
      </c>
      <c r="H254" s="7">
        <v>0.0</v>
      </c>
      <c r="I254" s="7">
        <v>35.0</v>
      </c>
    </row>
    <row r="255" ht="15.75" customHeight="1">
      <c r="D255" s="7">
        <f t="shared" ref="D255:E255" si="37">SUM(D253:D254)</f>
        <v>435</v>
      </c>
      <c r="E255" s="7">
        <f t="shared" si="37"/>
        <v>435</v>
      </c>
      <c r="F255" s="7">
        <v>0.0</v>
      </c>
      <c r="G255" s="7">
        <v>0.0</v>
      </c>
      <c r="H255" s="7">
        <v>0.0</v>
      </c>
      <c r="I255" s="7">
        <f>SUM(I253:I254)</f>
        <v>435</v>
      </c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</row>
    <row r="257" ht="15.75" customHeight="1">
      <c r="A257" s="25">
        <v>45553.0</v>
      </c>
      <c r="B257" s="7" t="s">
        <v>252</v>
      </c>
      <c r="C257" s="7" t="s">
        <v>121</v>
      </c>
      <c r="D257" s="7">
        <v>300.0</v>
      </c>
      <c r="F257" s="7">
        <v>300.0</v>
      </c>
      <c r="G257" s="7">
        <v>0.0</v>
      </c>
      <c r="H257" s="7">
        <v>0.0</v>
      </c>
      <c r="I257" s="7">
        <v>300.0</v>
      </c>
    </row>
    <row r="258" ht="15.75" customHeight="1">
      <c r="B258" s="7" t="s">
        <v>561</v>
      </c>
      <c r="C258" s="7" t="s">
        <v>859</v>
      </c>
      <c r="D258" s="7">
        <v>300.0</v>
      </c>
      <c r="E258" s="7">
        <v>300.0</v>
      </c>
      <c r="F258" s="7">
        <v>0.0</v>
      </c>
      <c r="G258" s="7">
        <v>0.0</v>
      </c>
      <c r="H258" s="7">
        <v>0.0</v>
      </c>
      <c r="I258" s="7">
        <v>300.0</v>
      </c>
    </row>
    <row r="259" ht="15.75" customHeight="1">
      <c r="B259" s="7" t="s">
        <v>860</v>
      </c>
      <c r="C259" s="7" t="s">
        <v>861</v>
      </c>
      <c r="D259" s="7">
        <v>400.0</v>
      </c>
      <c r="F259" s="7">
        <v>400.0</v>
      </c>
      <c r="I259" s="7">
        <v>400.0</v>
      </c>
    </row>
    <row r="260" ht="15.75" customHeight="1">
      <c r="B260" s="7" t="s">
        <v>109</v>
      </c>
      <c r="C260" s="7" t="s">
        <v>862</v>
      </c>
      <c r="D260" s="7">
        <v>100.0</v>
      </c>
      <c r="E260" s="7">
        <v>0.0</v>
      </c>
      <c r="F260" s="7">
        <v>150.0</v>
      </c>
      <c r="G260" s="7">
        <v>0.0</v>
      </c>
      <c r="H260" s="7">
        <v>0.0</v>
      </c>
      <c r="I260" s="7">
        <v>150.0</v>
      </c>
    </row>
    <row r="261" ht="15.75" customHeight="1">
      <c r="B261" s="7" t="s">
        <v>554</v>
      </c>
      <c r="C261" s="7" t="s">
        <v>863</v>
      </c>
      <c r="D261" s="7">
        <v>300.0</v>
      </c>
      <c r="E261" s="7">
        <v>0.0</v>
      </c>
      <c r="F261" s="7">
        <v>300.0</v>
      </c>
      <c r="G261" s="7">
        <v>0.0</v>
      </c>
      <c r="H261" s="7">
        <v>0.0</v>
      </c>
      <c r="I261" s="7">
        <v>300.0</v>
      </c>
    </row>
    <row r="262" ht="15.75" customHeight="1">
      <c r="B262" s="7" t="s">
        <v>864</v>
      </c>
      <c r="C262" s="7" t="s">
        <v>865</v>
      </c>
      <c r="D262" s="7">
        <v>250.0</v>
      </c>
      <c r="E262" s="7">
        <v>250.0</v>
      </c>
      <c r="F262" s="7">
        <v>0.0</v>
      </c>
      <c r="G262" s="7">
        <v>0.0</v>
      </c>
      <c r="H262" s="7">
        <v>0.0</v>
      </c>
      <c r="I262" s="7">
        <v>250.0</v>
      </c>
    </row>
    <row r="263" ht="15.75" customHeight="1">
      <c r="B263" s="7" t="s">
        <v>782</v>
      </c>
      <c r="C263" s="7" t="s">
        <v>866</v>
      </c>
      <c r="D263" s="7">
        <v>300.0</v>
      </c>
      <c r="E263" s="7">
        <v>300.0</v>
      </c>
      <c r="F263" s="7">
        <v>0.0</v>
      </c>
      <c r="G263" s="7">
        <v>0.0</v>
      </c>
      <c r="H263" s="7">
        <v>0.0</v>
      </c>
      <c r="I263" s="7">
        <v>0.0</v>
      </c>
    </row>
    <row r="264" ht="15.75" customHeight="1">
      <c r="D264" s="7">
        <f t="shared" ref="D264:F264" si="38">SUM(D257:D263)</f>
        <v>1950</v>
      </c>
      <c r="E264" s="7">
        <f t="shared" si="38"/>
        <v>850</v>
      </c>
      <c r="F264" s="7">
        <f t="shared" si="38"/>
        <v>1150</v>
      </c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</row>
    <row r="266" ht="15.75" customHeight="1">
      <c r="A266" s="25">
        <v>45554.0</v>
      </c>
      <c r="B266" s="7" t="s">
        <v>375</v>
      </c>
      <c r="C266" s="7" t="s">
        <v>867</v>
      </c>
      <c r="D266" s="7">
        <v>150.0</v>
      </c>
      <c r="E266" s="7">
        <v>150.0</v>
      </c>
      <c r="F266" s="7">
        <v>0.0</v>
      </c>
      <c r="G266" s="7">
        <v>0.0</v>
      </c>
      <c r="H266" s="7">
        <v>0.0</v>
      </c>
      <c r="I266" s="7">
        <v>150.0</v>
      </c>
      <c r="J266" s="7">
        <v>0.0</v>
      </c>
    </row>
    <row r="267" ht="15.75" customHeight="1">
      <c r="B267" s="7" t="s">
        <v>868</v>
      </c>
      <c r="C267" s="7" t="s">
        <v>869</v>
      </c>
      <c r="D267" s="7">
        <v>350.0</v>
      </c>
      <c r="E267" s="7">
        <v>0.0</v>
      </c>
      <c r="F267" s="7">
        <v>350.0</v>
      </c>
      <c r="G267" s="7">
        <v>0.0</v>
      </c>
      <c r="H267" s="7">
        <v>0.0</v>
      </c>
      <c r="I267" s="7">
        <v>350.0</v>
      </c>
      <c r="J267" s="7">
        <v>0.0</v>
      </c>
    </row>
    <row r="268" ht="15.75" customHeight="1">
      <c r="B268" s="7" t="s">
        <v>870</v>
      </c>
      <c r="C268" s="7" t="s">
        <v>871</v>
      </c>
      <c r="D268" s="7">
        <v>200.0</v>
      </c>
      <c r="E268" s="7">
        <v>200.0</v>
      </c>
      <c r="F268" s="7">
        <v>0.0</v>
      </c>
      <c r="G268" s="7">
        <v>0.0</v>
      </c>
      <c r="H268" s="7">
        <v>0.0</v>
      </c>
      <c r="I268" s="7">
        <v>200.0</v>
      </c>
      <c r="J268" s="7">
        <v>0.0</v>
      </c>
    </row>
    <row r="269" ht="15.75" customHeight="1">
      <c r="B269" s="7" t="s">
        <v>872</v>
      </c>
      <c r="C269" s="7" t="s">
        <v>873</v>
      </c>
      <c r="D269" s="7">
        <v>600.0</v>
      </c>
      <c r="E269" s="7">
        <v>0.0</v>
      </c>
      <c r="F269" s="7">
        <v>600.0</v>
      </c>
      <c r="G269" s="7">
        <v>0.0</v>
      </c>
      <c r="H269" s="7">
        <v>0.0</v>
      </c>
      <c r="I269" s="7">
        <v>600.0</v>
      </c>
      <c r="J269" s="7">
        <v>0.0</v>
      </c>
    </row>
    <row r="270" ht="15.75" customHeight="1">
      <c r="B270" s="7" t="s">
        <v>874</v>
      </c>
      <c r="C270" s="7" t="s">
        <v>875</v>
      </c>
      <c r="D270" s="7">
        <v>150.0</v>
      </c>
      <c r="E270" s="7">
        <v>150.0</v>
      </c>
      <c r="F270" s="7">
        <v>0.0</v>
      </c>
      <c r="G270" s="7">
        <v>0.0</v>
      </c>
      <c r="H270" s="7">
        <v>0.0</v>
      </c>
      <c r="I270" s="7">
        <v>150.0</v>
      </c>
      <c r="J270" s="7">
        <v>0.0</v>
      </c>
    </row>
    <row r="271" ht="15.75" customHeight="1">
      <c r="B271" s="7" t="s">
        <v>876</v>
      </c>
      <c r="C271" s="7" t="s">
        <v>877</v>
      </c>
      <c r="D271" s="7">
        <v>200.0</v>
      </c>
      <c r="E271" s="7">
        <v>200.0</v>
      </c>
      <c r="F271" s="7">
        <v>0.0</v>
      </c>
      <c r="G271" s="7">
        <v>0.0</v>
      </c>
      <c r="H271" s="7">
        <v>0.0</v>
      </c>
      <c r="I271" s="7">
        <v>200.0</v>
      </c>
      <c r="J271" s="7">
        <v>0.0</v>
      </c>
    </row>
    <row r="272" ht="18.0" customHeight="1">
      <c r="B272" s="21" t="s">
        <v>878</v>
      </c>
      <c r="C272" s="7" t="s">
        <v>879</v>
      </c>
      <c r="D272" s="7">
        <v>350.0</v>
      </c>
      <c r="E272" s="7">
        <v>0.0</v>
      </c>
      <c r="F272" s="7">
        <v>350.0</v>
      </c>
      <c r="G272" s="7">
        <v>0.0</v>
      </c>
      <c r="H272" s="7">
        <v>0.0</v>
      </c>
      <c r="I272" s="7">
        <v>350.0</v>
      </c>
      <c r="J272" s="7">
        <v>0.0</v>
      </c>
    </row>
    <row r="273" ht="15.75" customHeight="1">
      <c r="D273" s="7">
        <f t="shared" ref="D273:F273" si="39">SUM(D266:D272)</f>
        <v>2000</v>
      </c>
      <c r="E273" s="7">
        <f t="shared" si="39"/>
        <v>700</v>
      </c>
      <c r="F273" s="7">
        <f t="shared" si="39"/>
        <v>1300</v>
      </c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</row>
    <row r="275" ht="15.75" customHeight="1">
      <c r="A275" s="25">
        <v>45555.0</v>
      </c>
      <c r="B275" s="7" t="s">
        <v>880</v>
      </c>
      <c r="C275" s="7" t="s">
        <v>881</v>
      </c>
      <c r="D275" s="7">
        <v>1500.0</v>
      </c>
      <c r="E275" s="7">
        <v>0.0</v>
      </c>
      <c r="F275" s="7">
        <v>1500.0</v>
      </c>
      <c r="G275" s="7">
        <v>0.0</v>
      </c>
      <c r="H275" s="7">
        <v>0.0</v>
      </c>
      <c r="I275" s="7">
        <v>1500.0</v>
      </c>
      <c r="J275" s="7">
        <v>0.0</v>
      </c>
    </row>
    <row r="276" ht="15.75" customHeight="1">
      <c r="B276" s="7" t="s">
        <v>882</v>
      </c>
      <c r="C276" s="7" t="s">
        <v>883</v>
      </c>
      <c r="D276" s="7">
        <v>600.0</v>
      </c>
      <c r="E276" s="7">
        <v>600.0</v>
      </c>
      <c r="F276" s="7">
        <v>0.0</v>
      </c>
      <c r="G276" s="7">
        <v>0.0</v>
      </c>
      <c r="H276" s="7">
        <v>0.0</v>
      </c>
      <c r="I276" s="7">
        <v>600.0</v>
      </c>
      <c r="J276" s="7">
        <v>0.0</v>
      </c>
    </row>
    <row r="277" ht="15.75" customHeight="1">
      <c r="D277" s="7">
        <f t="shared" ref="D277:F277" si="40">SUM(D275:D276)</f>
        <v>2100</v>
      </c>
      <c r="E277" s="7">
        <f t="shared" si="40"/>
        <v>600</v>
      </c>
      <c r="F277" s="7">
        <f t="shared" si="40"/>
        <v>1500</v>
      </c>
      <c r="G277" s="7">
        <v>0.0</v>
      </c>
      <c r="H277" s="7">
        <v>0.0</v>
      </c>
      <c r="I277" s="7">
        <f>SUM(I275:I276)</f>
        <v>2100</v>
      </c>
      <c r="J277" s="7">
        <v>0.0</v>
      </c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</row>
    <row r="279" ht="15.75" customHeight="1">
      <c r="A279" s="25">
        <v>45558.0</v>
      </c>
      <c r="B279" s="7" t="s">
        <v>632</v>
      </c>
      <c r="C279" s="7" t="s">
        <v>884</v>
      </c>
      <c r="D279" s="7">
        <v>235.0</v>
      </c>
      <c r="E279" s="7">
        <v>0.0</v>
      </c>
      <c r="F279" s="7">
        <v>235.0</v>
      </c>
      <c r="G279" s="7">
        <v>0.0</v>
      </c>
      <c r="H279" s="7">
        <v>0.0</v>
      </c>
      <c r="I279" s="7">
        <v>200.0</v>
      </c>
      <c r="J279" s="7">
        <v>35.0</v>
      </c>
    </row>
    <row r="280" ht="15.75" customHeight="1">
      <c r="B280" s="7" t="s">
        <v>16</v>
      </c>
      <c r="C280" s="7" t="s">
        <v>885</v>
      </c>
      <c r="D280" s="7">
        <v>300.0</v>
      </c>
      <c r="E280" s="7">
        <v>0.0</v>
      </c>
      <c r="F280" s="7">
        <v>300.0</v>
      </c>
      <c r="G280" s="7">
        <v>0.0</v>
      </c>
      <c r="H280" s="7">
        <v>0.0</v>
      </c>
      <c r="I280" s="7">
        <v>300.0</v>
      </c>
      <c r="J280" s="7">
        <v>0.0</v>
      </c>
    </row>
    <row r="281" ht="15.75" customHeight="1">
      <c r="B281" s="7" t="s">
        <v>838</v>
      </c>
      <c r="C281" s="7" t="s">
        <v>886</v>
      </c>
      <c r="D281" s="7">
        <v>100.0</v>
      </c>
      <c r="E281" s="7">
        <v>100.0</v>
      </c>
      <c r="F281" s="7">
        <v>0.0</v>
      </c>
      <c r="G281" s="7">
        <v>0.0</v>
      </c>
      <c r="H281" s="7">
        <v>0.0</v>
      </c>
      <c r="I281" s="7">
        <v>100.0</v>
      </c>
    </row>
    <row r="282" ht="15.75" customHeight="1">
      <c r="B282" s="7" t="s">
        <v>887</v>
      </c>
      <c r="C282" s="7" t="s">
        <v>888</v>
      </c>
      <c r="D282" s="7">
        <v>300.0</v>
      </c>
      <c r="E282" s="7">
        <v>300.0</v>
      </c>
      <c r="F282" s="7">
        <v>0.0</v>
      </c>
      <c r="G282" s="7">
        <v>0.0</v>
      </c>
      <c r="H282" s="7">
        <v>0.0</v>
      </c>
      <c r="I282" s="7">
        <v>300.0</v>
      </c>
      <c r="J282" s="7">
        <v>0.0</v>
      </c>
    </row>
    <row r="283" ht="15.75" customHeight="1">
      <c r="B283" s="7" t="s">
        <v>759</v>
      </c>
      <c r="C283" s="7" t="s">
        <v>889</v>
      </c>
      <c r="D283" s="7">
        <v>300.0</v>
      </c>
      <c r="E283" s="7">
        <v>100.0</v>
      </c>
      <c r="F283" s="7">
        <v>200.0</v>
      </c>
      <c r="G283" s="7">
        <v>0.0</v>
      </c>
      <c r="H283" s="7">
        <v>0.0</v>
      </c>
      <c r="I283" s="7">
        <v>300.0</v>
      </c>
      <c r="J283" s="7">
        <v>0.0</v>
      </c>
    </row>
    <row r="284" ht="15.75" customHeight="1">
      <c r="B284" s="7" t="s">
        <v>222</v>
      </c>
      <c r="C284" s="7" t="s">
        <v>890</v>
      </c>
      <c r="D284" s="7">
        <v>155.0</v>
      </c>
      <c r="E284" s="7">
        <v>0.0</v>
      </c>
      <c r="F284" s="7">
        <v>155.0</v>
      </c>
      <c r="G284" s="7">
        <v>0.0</v>
      </c>
      <c r="H284" s="7">
        <v>0.0</v>
      </c>
      <c r="I284" s="7">
        <v>155.0</v>
      </c>
      <c r="J284" s="7">
        <v>0.0</v>
      </c>
    </row>
    <row r="285" ht="15.75" customHeight="1">
      <c r="D285" s="7">
        <f t="shared" ref="D285:F285" si="41">SUM(D279:D284)</f>
        <v>1390</v>
      </c>
      <c r="E285" s="7">
        <f t="shared" si="41"/>
        <v>500</v>
      </c>
      <c r="F285" s="7">
        <f t="shared" si="41"/>
        <v>890</v>
      </c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</row>
    <row r="287" ht="15.75" customHeight="1">
      <c r="A287" s="25">
        <v>45559.0</v>
      </c>
      <c r="B287" s="7" t="s">
        <v>196</v>
      </c>
      <c r="C287" s="7" t="s">
        <v>891</v>
      </c>
      <c r="D287" s="7">
        <v>200.0</v>
      </c>
      <c r="E287" s="7">
        <v>200.0</v>
      </c>
      <c r="F287" s="7">
        <v>0.0</v>
      </c>
      <c r="G287" s="7">
        <v>0.0</v>
      </c>
      <c r="H287" s="7">
        <v>0.0</v>
      </c>
      <c r="I287" s="7">
        <v>200.0</v>
      </c>
      <c r="J287" s="7">
        <v>0.0</v>
      </c>
    </row>
    <row r="288" ht="15.75" customHeight="1">
      <c r="B288" s="7" t="s">
        <v>892</v>
      </c>
      <c r="C288" s="7" t="s">
        <v>893</v>
      </c>
      <c r="D288" s="7">
        <v>100.0</v>
      </c>
      <c r="E288" s="7">
        <v>0.0</v>
      </c>
      <c r="F288" s="7">
        <v>100.0</v>
      </c>
      <c r="G288" s="7">
        <v>0.0</v>
      </c>
      <c r="H288" s="7">
        <v>0.0</v>
      </c>
      <c r="I288" s="7">
        <v>100.0</v>
      </c>
      <c r="J288" s="7">
        <v>0.0</v>
      </c>
    </row>
    <row r="289" ht="15.75" customHeight="1">
      <c r="D289" s="7">
        <f t="shared" ref="D289:J289" si="42">SUM(D287:D288)</f>
        <v>300</v>
      </c>
      <c r="E289" s="7">
        <f t="shared" si="42"/>
        <v>200</v>
      </c>
      <c r="F289" s="7">
        <f t="shared" si="42"/>
        <v>100</v>
      </c>
      <c r="G289" s="7">
        <f t="shared" si="42"/>
        <v>0</v>
      </c>
      <c r="H289" s="7">
        <f t="shared" si="42"/>
        <v>0</v>
      </c>
      <c r="I289" s="7">
        <f t="shared" si="42"/>
        <v>300</v>
      </c>
      <c r="J289" s="7">
        <f t="shared" si="42"/>
        <v>0</v>
      </c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</row>
    <row r="291" ht="15.75" customHeight="1">
      <c r="A291" s="25">
        <v>45560.0</v>
      </c>
      <c r="B291" s="7" t="s">
        <v>894</v>
      </c>
      <c r="C291" s="7" t="s">
        <v>895</v>
      </c>
      <c r="D291" s="7">
        <v>500.0</v>
      </c>
      <c r="F291" s="7">
        <v>500.0</v>
      </c>
      <c r="G291" s="7">
        <v>0.0</v>
      </c>
      <c r="H291" s="7">
        <v>0.0</v>
      </c>
      <c r="I291" s="7">
        <v>500.0</v>
      </c>
      <c r="J291" s="7">
        <v>0.0</v>
      </c>
    </row>
    <row r="292" ht="15.75" customHeight="1">
      <c r="B292" s="7" t="s">
        <v>137</v>
      </c>
      <c r="C292" s="7" t="s">
        <v>896</v>
      </c>
      <c r="D292" s="7">
        <v>1200.0</v>
      </c>
      <c r="E292" s="7">
        <v>0.0</v>
      </c>
      <c r="F292" s="7">
        <v>1200.0</v>
      </c>
      <c r="G292" s="7">
        <v>0.0</v>
      </c>
      <c r="H292" s="7">
        <v>0.0</v>
      </c>
      <c r="I292" s="7">
        <v>1200.0</v>
      </c>
      <c r="J292" s="7">
        <v>0.0</v>
      </c>
    </row>
    <row r="293" ht="15.75" customHeight="1">
      <c r="B293" s="7" t="s">
        <v>897</v>
      </c>
      <c r="C293" s="7" t="s">
        <v>851</v>
      </c>
      <c r="D293" s="7">
        <v>1000.0</v>
      </c>
      <c r="E293" s="7">
        <v>0.0</v>
      </c>
      <c r="F293" s="7">
        <v>1000.0</v>
      </c>
      <c r="G293" s="7">
        <v>0.0</v>
      </c>
      <c r="H293" s="7">
        <v>0.0</v>
      </c>
      <c r="I293" s="7">
        <v>1000.0</v>
      </c>
      <c r="J293" s="7">
        <v>0.0</v>
      </c>
    </row>
    <row r="294" ht="15.75" customHeight="1">
      <c r="D294" s="7">
        <f>SUM(D291:D293)</f>
        <v>2700</v>
      </c>
      <c r="F294" s="7">
        <f>SUM(F291:F293)</f>
        <v>2700</v>
      </c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</row>
    <row r="296" ht="15.75" customHeight="1">
      <c r="A296" s="25">
        <v>45565.0</v>
      </c>
      <c r="B296" s="7" t="s">
        <v>375</v>
      </c>
      <c r="C296" s="7" t="s">
        <v>898</v>
      </c>
      <c r="D296" s="7">
        <v>150.0</v>
      </c>
      <c r="E296" s="7">
        <v>0.0</v>
      </c>
      <c r="F296" s="7">
        <v>150.0</v>
      </c>
      <c r="G296" s="7">
        <v>0.0</v>
      </c>
      <c r="H296" s="7">
        <v>0.0</v>
      </c>
      <c r="I296" s="7">
        <v>150.0</v>
      </c>
      <c r="J296" s="7">
        <v>0.0</v>
      </c>
    </row>
    <row r="297" ht="15.75" customHeight="1">
      <c r="B297" s="7" t="s">
        <v>805</v>
      </c>
      <c r="C297" s="7" t="s">
        <v>899</v>
      </c>
      <c r="D297" s="7">
        <v>400.0</v>
      </c>
      <c r="F297" s="7">
        <v>400.0</v>
      </c>
      <c r="G297" s="7">
        <v>0.0</v>
      </c>
      <c r="H297" s="7">
        <v>0.0</v>
      </c>
      <c r="I297" s="7">
        <v>400.0</v>
      </c>
    </row>
    <row r="298" ht="15.75" customHeight="1">
      <c r="B298" s="7" t="s">
        <v>900</v>
      </c>
      <c r="C298" s="7" t="s">
        <v>901</v>
      </c>
      <c r="D298" s="7">
        <v>250.0</v>
      </c>
      <c r="E298" s="7">
        <v>0.0</v>
      </c>
      <c r="F298" s="7">
        <v>250.0</v>
      </c>
      <c r="G298" s="7">
        <v>0.0</v>
      </c>
      <c r="H298" s="7">
        <v>0.0</v>
      </c>
      <c r="I298" s="7">
        <v>250.0</v>
      </c>
    </row>
    <row r="299" ht="15.75" customHeight="1">
      <c r="B299" s="7" t="s">
        <v>16</v>
      </c>
      <c r="C299" s="7" t="s">
        <v>902</v>
      </c>
      <c r="D299" s="7">
        <v>300.0</v>
      </c>
      <c r="E299" s="7">
        <v>0.0</v>
      </c>
      <c r="F299" s="7">
        <v>300.0</v>
      </c>
      <c r="G299" s="7">
        <v>0.0</v>
      </c>
      <c r="H299" s="7">
        <v>0.0</v>
      </c>
      <c r="I299" s="7">
        <v>300.0</v>
      </c>
    </row>
    <row r="300" ht="15.75" customHeight="1">
      <c r="B300" s="7" t="s">
        <v>117</v>
      </c>
      <c r="C300" s="7" t="s">
        <v>903</v>
      </c>
      <c r="D300" s="7">
        <v>280.0</v>
      </c>
      <c r="E300" s="7">
        <v>280.0</v>
      </c>
      <c r="F300" s="7">
        <v>0.0</v>
      </c>
      <c r="G300" s="7">
        <v>0.0</v>
      </c>
      <c r="H300" s="7">
        <v>0.0</v>
      </c>
      <c r="I300" s="7">
        <v>280.0</v>
      </c>
    </row>
    <row r="301" ht="15.75" customHeight="1">
      <c r="B301" s="7" t="s">
        <v>66</v>
      </c>
      <c r="C301" s="7" t="s">
        <v>904</v>
      </c>
      <c r="D301" s="7">
        <v>280.0</v>
      </c>
      <c r="E301" s="7">
        <v>0.0</v>
      </c>
      <c r="F301" s="7">
        <v>280.0</v>
      </c>
      <c r="G301" s="7">
        <v>0.0</v>
      </c>
      <c r="H301" s="7">
        <v>0.0</v>
      </c>
      <c r="I301" s="7">
        <v>280.0</v>
      </c>
    </row>
    <row r="302" ht="15.75" customHeight="1">
      <c r="D302" s="7">
        <f t="shared" ref="D302:F302" si="43">SUM(D296:D301)</f>
        <v>1660</v>
      </c>
      <c r="E302" s="7">
        <f t="shared" si="43"/>
        <v>280</v>
      </c>
      <c r="F302" s="7">
        <f t="shared" si="43"/>
        <v>1380</v>
      </c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L303" s="28" t="s">
        <v>46</v>
      </c>
    </row>
    <row r="304" ht="15.75" customHeight="1">
      <c r="A304" s="25">
        <v>45566.0</v>
      </c>
      <c r="B304" s="7" t="s">
        <v>605</v>
      </c>
      <c r="C304" s="7" t="s">
        <v>905</v>
      </c>
      <c r="D304" s="7">
        <v>750.0</v>
      </c>
      <c r="E304" s="7">
        <v>0.0</v>
      </c>
      <c r="F304" s="7">
        <v>750.0</v>
      </c>
      <c r="G304" s="7">
        <v>0.0</v>
      </c>
      <c r="H304" s="7">
        <v>0.0</v>
      </c>
      <c r="I304" s="7">
        <v>750.0</v>
      </c>
      <c r="J304" s="7">
        <v>0.0</v>
      </c>
    </row>
    <row r="305" ht="15.75" customHeight="1">
      <c r="C305" s="7" t="s">
        <v>246</v>
      </c>
      <c r="D305" s="7">
        <v>750.0</v>
      </c>
      <c r="L305" s="7" t="s">
        <v>13</v>
      </c>
      <c r="M305" s="7" t="s">
        <v>10</v>
      </c>
      <c r="N305" s="7" t="s">
        <v>11</v>
      </c>
      <c r="O305" s="7" t="s">
        <v>14</v>
      </c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L306" s="7">
        <v>750.0</v>
      </c>
      <c r="M306" s="7">
        <v>0.0</v>
      </c>
      <c r="N306" s="7">
        <v>750.0</v>
      </c>
      <c r="O306" s="7">
        <v>0.0</v>
      </c>
    </row>
    <row r="307" ht="15.75" customHeight="1">
      <c r="A307" s="25">
        <v>45567.0</v>
      </c>
      <c r="B307" s="7" t="s">
        <v>892</v>
      </c>
      <c r="C307" s="7" t="s">
        <v>906</v>
      </c>
      <c r="D307" s="7">
        <v>1350.0</v>
      </c>
      <c r="E307" s="7">
        <v>0.0</v>
      </c>
      <c r="F307" s="7">
        <v>1350.0</v>
      </c>
      <c r="G307" s="7">
        <v>0.0</v>
      </c>
      <c r="H307" s="7">
        <v>0.0</v>
      </c>
      <c r="I307" s="7">
        <v>1350.0</v>
      </c>
      <c r="J307" s="7">
        <v>0.0</v>
      </c>
      <c r="L307" s="7">
        <v>3100.0</v>
      </c>
      <c r="M307" s="7">
        <v>950.0</v>
      </c>
      <c r="N307" s="7">
        <v>2150.0</v>
      </c>
      <c r="O307" s="7">
        <v>0.0</v>
      </c>
    </row>
    <row r="308" ht="15.75" customHeight="1">
      <c r="B308" s="23" t="s">
        <v>907</v>
      </c>
      <c r="C308" s="7" t="s">
        <v>176</v>
      </c>
      <c r="D308" s="7">
        <v>300.0</v>
      </c>
      <c r="E308" s="7">
        <v>300.0</v>
      </c>
      <c r="F308" s="7">
        <v>0.0</v>
      </c>
      <c r="G308" s="7">
        <v>0.0</v>
      </c>
      <c r="H308" s="7">
        <v>0.0</v>
      </c>
      <c r="I308" s="7">
        <v>300.0</v>
      </c>
      <c r="J308" s="7">
        <v>0.0</v>
      </c>
      <c r="L308" s="7">
        <v>650.0</v>
      </c>
      <c r="M308" s="7">
        <v>200.0</v>
      </c>
      <c r="N308" s="7">
        <v>100.0</v>
      </c>
      <c r="O308" s="7">
        <v>350.0</v>
      </c>
    </row>
    <row r="309" ht="15.75" customHeight="1">
      <c r="B309" s="7" t="s">
        <v>908</v>
      </c>
      <c r="C309" s="7" t="s">
        <v>294</v>
      </c>
      <c r="D309" s="7">
        <v>300.0</v>
      </c>
      <c r="E309" s="7">
        <v>300.0</v>
      </c>
      <c r="F309" s="7">
        <v>0.0</v>
      </c>
      <c r="G309" s="7">
        <v>0.0</v>
      </c>
      <c r="H309" s="7">
        <v>0.0</v>
      </c>
      <c r="I309" s="7">
        <v>300.0</v>
      </c>
      <c r="J309" s="7">
        <v>0.0</v>
      </c>
      <c r="L309" s="7">
        <v>2300.0</v>
      </c>
      <c r="M309" s="7">
        <v>300.0</v>
      </c>
      <c r="N309" s="7">
        <v>500.0</v>
      </c>
      <c r="O309" s="7">
        <v>1500.0</v>
      </c>
    </row>
    <row r="310" ht="15.75" customHeight="1">
      <c r="B310" s="7" t="s">
        <v>909</v>
      </c>
      <c r="C310" s="7" t="s">
        <v>910</v>
      </c>
      <c r="D310" s="7">
        <v>800.0</v>
      </c>
      <c r="E310" s="7">
        <v>0.0</v>
      </c>
      <c r="F310" s="7">
        <v>800.0</v>
      </c>
      <c r="G310" s="7">
        <v>0.0</v>
      </c>
      <c r="H310" s="7">
        <v>0.0</v>
      </c>
      <c r="I310" s="7">
        <v>800.0</v>
      </c>
      <c r="J310" s="7">
        <v>0.0</v>
      </c>
      <c r="L310" s="7">
        <v>550.0</v>
      </c>
      <c r="M310" s="7">
        <v>350.0</v>
      </c>
      <c r="N310" s="7">
        <v>200.0</v>
      </c>
      <c r="O310" s="7">
        <v>0.0</v>
      </c>
    </row>
    <row r="311" ht="15.75" customHeight="1">
      <c r="B311" s="7" t="s">
        <v>679</v>
      </c>
      <c r="C311" s="7" t="s">
        <v>911</v>
      </c>
      <c r="D311" s="7">
        <v>350.0</v>
      </c>
      <c r="E311" s="7">
        <v>350.0</v>
      </c>
      <c r="F311" s="7">
        <v>0.0</v>
      </c>
      <c r="G311" s="7">
        <v>0.0</v>
      </c>
      <c r="H311" s="7">
        <v>0.0</v>
      </c>
      <c r="I311" s="7">
        <v>350.0</v>
      </c>
      <c r="J311" s="7">
        <v>0.0</v>
      </c>
      <c r="L311" s="7">
        <v>630.0</v>
      </c>
      <c r="M311" s="7">
        <v>595.0</v>
      </c>
      <c r="N311" s="7">
        <v>35.0</v>
      </c>
      <c r="O311" s="7">
        <v>0.0</v>
      </c>
    </row>
    <row r="312" ht="15.75" customHeight="1">
      <c r="D312" s="7">
        <f t="shared" ref="D312:F312" si="44">SUM(D307:D311)</f>
        <v>3100</v>
      </c>
      <c r="E312" s="7">
        <f t="shared" si="44"/>
        <v>950</v>
      </c>
      <c r="F312" s="7">
        <f t="shared" si="44"/>
        <v>2150</v>
      </c>
      <c r="G312" s="7">
        <v>0.0</v>
      </c>
      <c r="H312" s="7">
        <v>0.0</v>
      </c>
      <c r="I312" s="7">
        <f t="shared" ref="I312:J312" si="45">SUM(I307:I311)</f>
        <v>3100</v>
      </c>
      <c r="J312" s="7">
        <f t="shared" si="45"/>
        <v>0</v>
      </c>
      <c r="L312" s="7">
        <v>1150.0</v>
      </c>
      <c r="M312" s="7">
        <v>850.0</v>
      </c>
      <c r="N312" s="7">
        <v>300.0</v>
      </c>
      <c r="O312" s="7">
        <v>0.0</v>
      </c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L313" s="7">
        <v>750.0</v>
      </c>
      <c r="M313" s="7">
        <v>750.0</v>
      </c>
      <c r="N313" s="7">
        <v>0.0</v>
      </c>
      <c r="O313" s="7">
        <v>0.0</v>
      </c>
    </row>
    <row r="314" ht="15.75" customHeight="1">
      <c r="A314" s="25">
        <v>45574.0</v>
      </c>
      <c r="B314" s="7" t="s">
        <v>912</v>
      </c>
      <c r="C314" s="7" t="s">
        <v>913</v>
      </c>
      <c r="D314" s="7">
        <v>100.0</v>
      </c>
      <c r="E314" s="7">
        <v>0.0</v>
      </c>
      <c r="F314" s="7">
        <v>100.0</v>
      </c>
      <c r="G314" s="7">
        <v>0.0</v>
      </c>
      <c r="H314" s="7">
        <v>0.0</v>
      </c>
      <c r="I314" s="7">
        <v>0.0</v>
      </c>
      <c r="J314" s="7">
        <v>100.0</v>
      </c>
      <c r="L314" s="7">
        <v>1000.0</v>
      </c>
      <c r="M314" s="7">
        <v>300.0</v>
      </c>
      <c r="N314" s="7">
        <v>100.0</v>
      </c>
      <c r="O314" s="7">
        <v>600.0</v>
      </c>
    </row>
    <row r="315" ht="15.75" customHeight="1">
      <c r="B315" s="7" t="s">
        <v>200</v>
      </c>
      <c r="C315" s="7" t="s">
        <v>914</v>
      </c>
      <c r="D315" s="7">
        <v>200.0</v>
      </c>
      <c r="E315" s="7">
        <v>200.0</v>
      </c>
      <c r="F315" s="7">
        <v>0.0</v>
      </c>
      <c r="G315" s="7">
        <v>0.0</v>
      </c>
      <c r="H315" s="7">
        <v>0.0</v>
      </c>
      <c r="I315" s="7">
        <v>200.0</v>
      </c>
      <c r="J315" s="7">
        <v>200.0</v>
      </c>
      <c r="L315" s="7">
        <v>1050.0</v>
      </c>
      <c r="M315" s="7">
        <v>250.0</v>
      </c>
      <c r="N315" s="7">
        <v>800.0</v>
      </c>
      <c r="O315" s="7">
        <v>0.0</v>
      </c>
    </row>
    <row r="316" ht="15.75" customHeight="1">
      <c r="B316" s="7" t="s">
        <v>716</v>
      </c>
      <c r="C316" s="7" t="s">
        <v>915</v>
      </c>
      <c r="D316" s="7">
        <v>350.0</v>
      </c>
      <c r="E316" s="7">
        <v>0.0</v>
      </c>
      <c r="F316" s="7">
        <v>0.0</v>
      </c>
      <c r="G316" s="7">
        <v>350.0</v>
      </c>
      <c r="H316" s="7">
        <v>0.0</v>
      </c>
      <c r="I316" s="7">
        <v>350.0</v>
      </c>
      <c r="J316" s="7">
        <v>350.0</v>
      </c>
      <c r="L316" s="7">
        <v>1250.0</v>
      </c>
      <c r="M316" s="7">
        <v>350.0</v>
      </c>
      <c r="N316" s="7">
        <v>900.0</v>
      </c>
      <c r="O316" s="7">
        <v>0.0</v>
      </c>
    </row>
    <row r="317" ht="15.75" customHeight="1">
      <c r="B317" s="7" t="s">
        <v>916</v>
      </c>
      <c r="C317" s="7" t="s">
        <v>917</v>
      </c>
      <c r="D317" s="7">
        <v>-1500.0</v>
      </c>
      <c r="E317" s="7">
        <v>0.0</v>
      </c>
      <c r="F317" s="7">
        <v>0.0</v>
      </c>
      <c r="G317" s="7">
        <v>-1500.0</v>
      </c>
      <c r="H317" s="7">
        <v>0.0</v>
      </c>
      <c r="I317" s="7">
        <v>0.0</v>
      </c>
      <c r="J317" s="7">
        <v>0.0</v>
      </c>
      <c r="L317" s="7">
        <v>1780.0</v>
      </c>
      <c r="M317" s="7">
        <v>50.0</v>
      </c>
      <c r="N317" s="7">
        <v>1730.0</v>
      </c>
      <c r="O317" s="7">
        <v>0.0</v>
      </c>
    </row>
    <row r="318" ht="15.75" customHeight="1">
      <c r="D318" s="7">
        <f t="shared" ref="D318:J318" si="46">SUM(D314:D317)</f>
        <v>-850</v>
      </c>
      <c r="E318" s="7">
        <f t="shared" si="46"/>
        <v>200</v>
      </c>
      <c r="F318" s="7">
        <f t="shared" si="46"/>
        <v>100</v>
      </c>
      <c r="G318" s="7">
        <f t="shared" si="46"/>
        <v>-1150</v>
      </c>
      <c r="H318" s="7">
        <f t="shared" si="46"/>
        <v>0</v>
      </c>
      <c r="I318" s="7">
        <f t="shared" si="46"/>
        <v>550</v>
      </c>
      <c r="J318" s="7">
        <f t="shared" si="46"/>
        <v>650</v>
      </c>
      <c r="L318" s="7">
        <v>1570.0</v>
      </c>
      <c r="M318" s="7">
        <v>70.0</v>
      </c>
      <c r="N318" s="7">
        <v>0.0</v>
      </c>
      <c r="O318" s="7">
        <v>1500.0</v>
      </c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L319" s="7">
        <v>900.0</v>
      </c>
      <c r="M319" s="7">
        <v>900.0</v>
      </c>
      <c r="N319" s="7">
        <v>0.0</v>
      </c>
      <c r="O319" s="7">
        <v>0.0</v>
      </c>
    </row>
    <row r="320" ht="15.75" customHeight="1">
      <c r="A320" s="57">
        <v>45575.0</v>
      </c>
      <c r="B320" s="7" t="s">
        <v>40</v>
      </c>
      <c r="C320" s="7" t="s">
        <v>918</v>
      </c>
      <c r="D320" s="7">
        <v>300.0</v>
      </c>
      <c r="E320" s="7">
        <v>0.0</v>
      </c>
      <c r="F320" s="7">
        <v>300.0</v>
      </c>
      <c r="G320" s="7">
        <v>0.0</v>
      </c>
      <c r="H320" s="7">
        <v>0.0</v>
      </c>
      <c r="I320" s="7">
        <v>0.0</v>
      </c>
      <c r="J320" s="7">
        <v>0.0</v>
      </c>
      <c r="L320" s="7">
        <v>590.0</v>
      </c>
      <c r="M320" s="7">
        <v>490.0</v>
      </c>
      <c r="N320" s="7">
        <v>100.0</v>
      </c>
      <c r="O320" s="7">
        <v>0.0</v>
      </c>
    </row>
    <row r="321" ht="15.75" customHeight="1">
      <c r="B321" s="7" t="s">
        <v>919</v>
      </c>
      <c r="C321" s="7" t="s">
        <v>920</v>
      </c>
      <c r="D321" s="7">
        <v>200.0</v>
      </c>
      <c r="E321" s="7">
        <v>200.0</v>
      </c>
      <c r="F321" s="7">
        <v>0.0</v>
      </c>
      <c r="G321" s="7">
        <v>0.0</v>
      </c>
      <c r="H321" s="7">
        <v>0.0</v>
      </c>
      <c r="I321" s="7">
        <v>0.0</v>
      </c>
      <c r="J321" s="7">
        <v>0.0</v>
      </c>
      <c r="L321" s="7">
        <v>1230.0</v>
      </c>
      <c r="M321" s="7">
        <v>630.0</v>
      </c>
      <c r="N321" s="7">
        <v>600.0</v>
      </c>
      <c r="O321" s="7">
        <v>0.0</v>
      </c>
    </row>
    <row r="322" ht="15.75" customHeight="1">
      <c r="B322" s="7" t="s">
        <v>688</v>
      </c>
      <c r="C322" s="7" t="s">
        <v>921</v>
      </c>
      <c r="D322" s="7">
        <v>300.0</v>
      </c>
      <c r="E322" s="7">
        <v>100.0</v>
      </c>
      <c r="F322" s="7">
        <v>200.0</v>
      </c>
      <c r="G322" s="7">
        <v>0.0</v>
      </c>
      <c r="H322" s="7">
        <v>0.0</v>
      </c>
      <c r="I322" s="7">
        <v>200.0</v>
      </c>
      <c r="J322" s="7">
        <v>0.0</v>
      </c>
      <c r="L322" s="7">
        <f t="shared" ref="L322:O322" si="47">SUM(L306:L321)</f>
        <v>19250</v>
      </c>
      <c r="M322" s="7">
        <f t="shared" si="47"/>
        <v>7035</v>
      </c>
      <c r="N322" s="7">
        <f t="shared" si="47"/>
        <v>8265</v>
      </c>
      <c r="O322" s="7">
        <f t="shared" si="47"/>
        <v>3950</v>
      </c>
    </row>
    <row r="323" ht="15.75" customHeight="1">
      <c r="B323" s="7" t="s">
        <v>880</v>
      </c>
      <c r="C323" s="7" t="s">
        <v>922</v>
      </c>
      <c r="D323" s="7">
        <v>1500.0</v>
      </c>
      <c r="E323" s="7">
        <v>0.0</v>
      </c>
      <c r="F323" s="7">
        <v>0.0</v>
      </c>
      <c r="G323" s="7">
        <v>1500.0</v>
      </c>
      <c r="H323" s="7">
        <v>0.0</v>
      </c>
      <c r="I323" s="7">
        <v>1500.0</v>
      </c>
      <c r="J323" s="7">
        <v>0.0</v>
      </c>
    </row>
    <row r="324" ht="15.75" customHeight="1">
      <c r="B324" s="7"/>
      <c r="D324" s="7">
        <f t="shared" ref="D324:G324" si="48">SUM(D320:D323)</f>
        <v>2300</v>
      </c>
      <c r="E324" s="7">
        <f t="shared" si="48"/>
        <v>300</v>
      </c>
      <c r="F324" s="7">
        <f t="shared" si="48"/>
        <v>500</v>
      </c>
      <c r="G324" s="7">
        <f t="shared" si="48"/>
        <v>1500</v>
      </c>
      <c r="H324" s="7">
        <v>0.0</v>
      </c>
      <c r="I324" s="7">
        <v>0.0</v>
      </c>
      <c r="J324" s="7">
        <v>0.0</v>
      </c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</row>
    <row r="326" ht="15.75" customHeight="1">
      <c r="A326" s="57">
        <v>45576.0</v>
      </c>
      <c r="B326" s="7" t="s">
        <v>923</v>
      </c>
      <c r="C326" s="7" t="s">
        <v>924</v>
      </c>
      <c r="D326" s="7">
        <v>200.0</v>
      </c>
      <c r="E326" s="7">
        <v>0.0</v>
      </c>
      <c r="F326" s="7">
        <v>200.0</v>
      </c>
      <c r="G326" s="7">
        <v>0.0</v>
      </c>
      <c r="H326" s="7">
        <v>0.0</v>
      </c>
      <c r="I326" s="7">
        <v>200.0</v>
      </c>
      <c r="J326" s="7">
        <v>0.0</v>
      </c>
    </row>
    <row r="327" ht="15.75" customHeight="1">
      <c r="B327" s="7" t="s">
        <v>813</v>
      </c>
      <c r="C327" s="7" t="s">
        <v>925</v>
      </c>
      <c r="D327" s="7">
        <v>350.0</v>
      </c>
      <c r="E327" s="7">
        <v>350.0</v>
      </c>
      <c r="F327" s="7">
        <v>0.0</v>
      </c>
      <c r="G327" s="7">
        <v>0.0</v>
      </c>
      <c r="H327" s="7">
        <v>0.0</v>
      </c>
      <c r="I327" s="7">
        <v>350.0</v>
      </c>
      <c r="J327" s="7">
        <v>0.0</v>
      </c>
    </row>
    <row r="328" ht="15.75" customHeight="1">
      <c r="D328" s="7">
        <f>SUM(D326:D327)</f>
        <v>550</v>
      </c>
      <c r="E328" s="7">
        <v>350.0</v>
      </c>
      <c r="F328" s="7">
        <v>200.0</v>
      </c>
      <c r="G328" s="7">
        <v>0.0</v>
      </c>
      <c r="H328" s="7">
        <v>0.0</v>
      </c>
      <c r="I328" s="7">
        <f t="shared" ref="I328:J328" si="49">SUM(I326:I327)</f>
        <v>550</v>
      </c>
      <c r="J328" s="7">
        <f t="shared" si="49"/>
        <v>0</v>
      </c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</row>
    <row r="330" ht="15.75" customHeight="1">
      <c r="A330" s="57">
        <v>45580.0</v>
      </c>
      <c r="B330" s="7" t="s">
        <v>926</v>
      </c>
      <c r="C330" s="7" t="s">
        <v>927</v>
      </c>
      <c r="D330" s="7">
        <v>50.0</v>
      </c>
      <c r="E330" s="7">
        <v>50.0</v>
      </c>
      <c r="F330" s="7">
        <v>0.0</v>
      </c>
      <c r="G330" s="7">
        <v>0.0</v>
      </c>
      <c r="H330" s="7">
        <v>0.0</v>
      </c>
      <c r="I330" s="7">
        <v>0.0</v>
      </c>
      <c r="J330" s="7">
        <v>50.0</v>
      </c>
    </row>
    <row r="331" ht="15.75" customHeight="1">
      <c r="B331" s="7" t="s">
        <v>928</v>
      </c>
      <c r="C331" s="7" t="s">
        <v>929</v>
      </c>
      <c r="D331" s="7">
        <v>400.0</v>
      </c>
      <c r="E331" s="7">
        <v>400.0</v>
      </c>
      <c r="F331" s="7">
        <v>0.0</v>
      </c>
      <c r="G331" s="7">
        <v>0.0</v>
      </c>
      <c r="H331" s="7">
        <v>0.0</v>
      </c>
      <c r="I331" s="7">
        <v>400.0</v>
      </c>
      <c r="J331" s="7">
        <v>0.0</v>
      </c>
    </row>
    <row r="332" ht="15.75" customHeight="1">
      <c r="B332" s="7" t="s">
        <v>900</v>
      </c>
      <c r="C332" s="7" t="s">
        <v>930</v>
      </c>
      <c r="D332" s="7">
        <v>135.0</v>
      </c>
      <c r="E332" s="7">
        <v>100.0</v>
      </c>
      <c r="F332" s="7">
        <v>35.0</v>
      </c>
      <c r="G332" s="7">
        <v>0.0</v>
      </c>
      <c r="H332" s="7">
        <v>0.0</v>
      </c>
      <c r="I332" s="7">
        <v>0.0</v>
      </c>
      <c r="J332" s="7">
        <v>135.0</v>
      </c>
    </row>
    <row r="333" ht="15.75" customHeight="1">
      <c r="B333" s="7" t="s">
        <v>931</v>
      </c>
      <c r="C333" s="7" t="s">
        <v>932</v>
      </c>
      <c r="D333" s="7">
        <v>45.0</v>
      </c>
      <c r="E333" s="7">
        <v>45.0</v>
      </c>
      <c r="F333" s="7">
        <v>0.0</v>
      </c>
      <c r="G333" s="7">
        <v>0.0</v>
      </c>
      <c r="H333" s="7">
        <v>0.0</v>
      </c>
      <c r="I333" s="7">
        <v>0.0</v>
      </c>
      <c r="J333" s="7">
        <v>45.0</v>
      </c>
    </row>
    <row r="334" ht="15.75" customHeight="1">
      <c r="D334" s="7">
        <f t="shared" ref="D334:E334" si="50">SUM(D330:D333)</f>
        <v>630</v>
      </c>
      <c r="E334" s="7">
        <f t="shared" si="50"/>
        <v>595</v>
      </c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</row>
    <row r="336" ht="15.75" customHeight="1">
      <c r="A336" s="57">
        <v>45581.0</v>
      </c>
      <c r="B336" s="7" t="s">
        <v>933</v>
      </c>
      <c r="C336" s="7" t="s">
        <v>934</v>
      </c>
      <c r="D336" s="7">
        <v>200.0</v>
      </c>
      <c r="E336" s="7">
        <v>0.0</v>
      </c>
      <c r="F336" s="7">
        <v>200.0</v>
      </c>
      <c r="G336" s="7">
        <v>0.0</v>
      </c>
      <c r="H336" s="7">
        <v>0.0</v>
      </c>
      <c r="I336" s="7">
        <v>200.0</v>
      </c>
      <c r="J336" s="7">
        <v>0.0</v>
      </c>
    </row>
    <row r="337" ht="15.75" customHeight="1">
      <c r="B337" s="7" t="s">
        <v>935</v>
      </c>
      <c r="C337" s="7" t="s">
        <v>448</v>
      </c>
      <c r="D337" s="7">
        <v>350.0</v>
      </c>
      <c r="E337" s="7">
        <v>350.0</v>
      </c>
      <c r="F337" s="7">
        <v>0.0</v>
      </c>
      <c r="G337" s="7">
        <v>0.0</v>
      </c>
      <c r="H337" s="7">
        <v>0.0</v>
      </c>
      <c r="I337" s="7">
        <v>350.0</v>
      </c>
      <c r="J337" s="7">
        <v>0.0</v>
      </c>
    </row>
    <row r="338" ht="15.75" customHeight="1">
      <c r="B338" s="7" t="s">
        <v>96</v>
      </c>
      <c r="C338" s="7" t="s">
        <v>448</v>
      </c>
      <c r="D338" s="7">
        <v>300.0</v>
      </c>
      <c r="E338" s="7">
        <v>300.0</v>
      </c>
      <c r="F338" s="7">
        <v>0.0</v>
      </c>
      <c r="G338" s="7">
        <v>0.0</v>
      </c>
      <c r="H338" s="7">
        <v>0.0</v>
      </c>
      <c r="I338" s="7">
        <v>300.0</v>
      </c>
      <c r="J338" s="7">
        <v>0.0</v>
      </c>
    </row>
    <row r="339" ht="15.75" customHeight="1">
      <c r="B339" s="7" t="s">
        <v>349</v>
      </c>
      <c r="C339" s="7" t="s">
        <v>936</v>
      </c>
      <c r="D339" s="7">
        <v>300.0</v>
      </c>
      <c r="E339" s="7">
        <v>200.0</v>
      </c>
      <c r="F339" s="7">
        <v>100.0</v>
      </c>
      <c r="G339" s="7">
        <v>0.0</v>
      </c>
      <c r="H339" s="7">
        <v>0.0</v>
      </c>
      <c r="I339" s="7">
        <v>300.0</v>
      </c>
      <c r="J339" s="7">
        <v>0.0</v>
      </c>
    </row>
    <row r="340" ht="15.75" customHeight="1">
      <c r="D340" s="7">
        <f t="shared" ref="D340:F340" si="51">SUM(D336:D339)</f>
        <v>1150</v>
      </c>
      <c r="E340" s="7">
        <f t="shared" si="51"/>
        <v>850</v>
      </c>
      <c r="F340" s="7">
        <f t="shared" si="51"/>
        <v>300</v>
      </c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</row>
    <row r="342" ht="15.75" customHeight="1">
      <c r="A342" s="57">
        <v>45582.0</v>
      </c>
      <c r="B342" s="7" t="s">
        <v>937</v>
      </c>
      <c r="C342" s="7" t="s">
        <v>938</v>
      </c>
      <c r="D342" s="7">
        <v>500.0</v>
      </c>
      <c r="E342" s="7">
        <v>500.0</v>
      </c>
      <c r="F342" s="7">
        <v>0.0</v>
      </c>
      <c r="G342" s="7">
        <v>0.0</v>
      </c>
      <c r="H342" s="7">
        <v>0.0</v>
      </c>
      <c r="I342" s="7">
        <v>500.0</v>
      </c>
      <c r="J342" s="7">
        <v>0.0</v>
      </c>
    </row>
    <row r="343" ht="15.75" customHeight="1">
      <c r="B343" s="7" t="s">
        <v>490</v>
      </c>
      <c r="C343" s="7" t="s">
        <v>939</v>
      </c>
      <c r="D343" s="7">
        <v>250.0</v>
      </c>
      <c r="E343" s="7">
        <v>250.0</v>
      </c>
      <c r="F343" s="7">
        <v>0.0</v>
      </c>
      <c r="G343" s="7">
        <v>0.0</v>
      </c>
      <c r="H343" s="7">
        <v>0.0</v>
      </c>
      <c r="I343" s="7">
        <v>250.0</v>
      </c>
      <c r="J343" s="7">
        <v>0.0</v>
      </c>
    </row>
    <row r="344" ht="15.75" customHeight="1">
      <c r="D344" s="7">
        <f t="shared" ref="D344:E344" si="52">SUM(D342:D343)</f>
        <v>750</v>
      </c>
      <c r="E344" s="7">
        <f t="shared" si="52"/>
        <v>750</v>
      </c>
      <c r="I344" s="7">
        <f>SUM(I342:I343)</f>
        <v>750</v>
      </c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</row>
    <row r="346" ht="15.75" customHeight="1">
      <c r="A346" s="57">
        <v>45583.0</v>
      </c>
      <c r="B346" s="7" t="s">
        <v>940</v>
      </c>
      <c r="C346" s="7" t="s">
        <v>941</v>
      </c>
      <c r="D346" s="7">
        <v>50.0</v>
      </c>
      <c r="E346" s="7">
        <v>50.0</v>
      </c>
      <c r="F346" s="7">
        <v>0.0</v>
      </c>
      <c r="G346" s="7">
        <v>0.0</v>
      </c>
      <c r="H346" s="7">
        <v>0.0</v>
      </c>
      <c r="I346" s="7">
        <v>50.0</v>
      </c>
      <c r="J346" s="7">
        <v>0.0</v>
      </c>
    </row>
    <row r="347" ht="15.75" customHeight="1">
      <c r="B347" s="7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</row>
    <row r="349" ht="15.75" customHeight="1">
      <c r="A349" s="57">
        <v>45586.0</v>
      </c>
      <c r="B349" s="7" t="s">
        <v>610</v>
      </c>
      <c r="C349" s="7" t="s">
        <v>942</v>
      </c>
      <c r="D349" s="7">
        <v>300.0</v>
      </c>
      <c r="E349" s="7">
        <v>300.0</v>
      </c>
      <c r="F349" s="7">
        <v>0.0</v>
      </c>
      <c r="G349" s="7">
        <v>0.0</v>
      </c>
      <c r="H349" s="7">
        <v>0.0</v>
      </c>
      <c r="I349" s="7">
        <v>300.0</v>
      </c>
      <c r="J349" s="7">
        <v>0.0</v>
      </c>
    </row>
    <row r="350" ht="15.75" customHeight="1">
      <c r="B350" s="7" t="s">
        <v>109</v>
      </c>
      <c r="C350" s="7" t="s">
        <v>943</v>
      </c>
      <c r="D350" s="7">
        <v>100.0</v>
      </c>
      <c r="E350" s="7">
        <v>0.0</v>
      </c>
      <c r="F350" s="7">
        <v>100.0</v>
      </c>
      <c r="G350" s="7">
        <v>0.0</v>
      </c>
      <c r="H350" s="7">
        <v>0.0</v>
      </c>
      <c r="I350" s="7">
        <v>100.0</v>
      </c>
      <c r="J350" s="7">
        <v>0.0</v>
      </c>
    </row>
    <row r="351" ht="15.75" customHeight="1">
      <c r="B351" s="7" t="s">
        <v>614</v>
      </c>
      <c r="C351" s="7" t="s">
        <v>944</v>
      </c>
      <c r="D351" s="7">
        <v>600.0</v>
      </c>
      <c r="E351" s="7">
        <v>0.0</v>
      </c>
      <c r="F351" s="7">
        <v>0.0</v>
      </c>
      <c r="G351" s="7">
        <v>600.0</v>
      </c>
      <c r="H351" s="7">
        <v>0.0</v>
      </c>
      <c r="I351" s="7">
        <v>600.0</v>
      </c>
      <c r="J351" s="7">
        <v>0.0</v>
      </c>
    </row>
    <row r="352" ht="15.75" customHeight="1">
      <c r="D352" s="7">
        <f t="shared" ref="D352:J352" si="53">SUM(D349:D351)</f>
        <v>1000</v>
      </c>
      <c r="E352" s="7">
        <f t="shared" si="53"/>
        <v>300</v>
      </c>
      <c r="F352" s="7">
        <f t="shared" si="53"/>
        <v>100</v>
      </c>
      <c r="G352" s="7">
        <f t="shared" si="53"/>
        <v>600</v>
      </c>
      <c r="H352" s="7">
        <f t="shared" si="53"/>
        <v>0</v>
      </c>
      <c r="I352" s="7">
        <f t="shared" si="53"/>
        <v>1000</v>
      </c>
      <c r="J352" s="7">
        <f t="shared" si="53"/>
        <v>0</v>
      </c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</row>
    <row r="354" ht="15.75" customHeight="1">
      <c r="A354" s="57">
        <v>45587.0</v>
      </c>
      <c r="B354" s="7" t="s">
        <v>940</v>
      </c>
      <c r="C354" s="7" t="s">
        <v>945</v>
      </c>
      <c r="D354" s="7">
        <v>50.0</v>
      </c>
      <c r="E354" s="7">
        <v>0.0</v>
      </c>
      <c r="F354" s="7">
        <v>50.0</v>
      </c>
      <c r="G354" s="7">
        <v>0.0</v>
      </c>
      <c r="H354" s="7">
        <v>0.0</v>
      </c>
      <c r="I354" s="7">
        <v>50.0</v>
      </c>
      <c r="J354" s="7">
        <v>0.0</v>
      </c>
    </row>
    <row r="355" ht="15.75" customHeight="1">
      <c r="B355" s="7" t="s">
        <v>946</v>
      </c>
      <c r="C355" s="7" t="s">
        <v>947</v>
      </c>
      <c r="D355" s="7">
        <v>100.0</v>
      </c>
      <c r="E355" s="7">
        <v>100.0</v>
      </c>
      <c r="F355" s="7">
        <v>0.0</v>
      </c>
      <c r="G355" s="7">
        <v>0.0</v>
      </c>
      <c r="H355" s="7">
        <v>0.0</v>
      </c>
      <c r="I355" s="7">
        <v>50.0</v>
      </c>
      <c r="J355" s="7">
        <v>50.0</v>
      </c>
    </row>
    <row r="356" ht="15.75" customHeight="1">
      <c r="B356" s="7" t="s">
        <v>605</v>
      </c>
      <c r="C356" s="7" t="s">
        <v>948</v>
      </c>
      <c r="D356" s="7">
        <v>750.0</v>
      </c>
      <c r="E356" s="7">
        <v>0.0</v>
      </c>
      <c r="F356" s="7">
        <v>750.0</v>
      </c>
      <c r="G356" s="7">
        <v>0.0</v>
      </c>
      <c r="H356" s="7">
        <v>0.0</v>
      </c>
      <c r="I356" s="7">
        <v>750.0</v>
      </c>
      <c r="J356" s="7">
        <v>0.0</v>
      </c>
    </row>
    <row r="357" ht="15.75" customHeight="1">
      <c r="B357" s="7" t="s">
        <v>349</v>
      </c>
      <c r="C357" s="7" t="s">
        <v>949</v>
      </c>
      <c r="D357" s="7">
        <v>150.0</v>
      </c>
      <c r="E357" s="7">
        <v>150.0</v>
      </c>
      <c r="F357" s="7">
        <v>0.0</v>
      </c>
      <c r="G357" s="7">
        <v>0.0</v>
      </c>
      <c r="H357" s="7">
        <v>0.0</v>
      </c>
      <c r="I357" s="7">
        <v>150.0</v>
      </c>
      <c r="J357" s="7">
        <v>0.0</v>
      </c>
    </row>
    <row r="358" ht="15.75" customHeight="1">
      <c r="D358" s="7">
        <f t="shared" ref="D358:F358" si="54">SUM(D354:D357)</f>
        <v>1050</v>
      </c>
      <c r="E358" s="7">
        <f t="shared" si="54"/>
        <v>250</v>
      </c>
      <c r="F358" s="7">
        <f t="shared" si="54"/>
        <v>800</v>
      </c>
      <c r="I358" s="7">
        <f t="shared" ref="I358:J358" si="55">SUM(I354:I357)</f>
        <v>1000</v>
      </c>
      <c r="J358" s="7">
        <f t="shared" si="55"/>
        <v>50</v>
      </c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</row>
    <row r="360" ht="15.75" customHeight="1">
      <c r="A360" s="57">
        <v>45588.0</v>
      </c>
      <c r="B360" s="7" t="s">
        <v>878</v>
      </c>
      <c r="C360" s="7" t="s">
        <v>950</v>
      </c>
      <c r="D360" s="7">
        <v>350.0</v>
      </c>
      <c r="E360" s="7">
        <v>0.0</v>
      </c>
      <c r="F360" s="7">
        <v>350.0</v>
      </c>
      <c r="G360" s="7">
        <v>0.0</v>
      </c>
      <c r="H360" s="7">
        <v>0.0</v>
      </c>
      <c r="I360" s="7">
        <v>350.0</v>
      </c>
      <c r="J360" s="7">
        <v>0.0</v>
      </c>
    </row>
    <row r="361" ht="15.75" customHeight="1">
      <c r="B361" s="7" t="s">
        <v>951</v>
      </c>
      <c r="C361" s="7" t="s">
        <v>577</v>
      </c>
      <c r="D361" s="7">
        <v>350.0</v>
      </c>
      <c r="E361" s="7">
        <v>350.0</v>
      </c>
      <c r="F361" s="7">
        <v>0.0</v>
      </c>
      <c r="G361" s="7">
        <v>0.0</v>
      </c>
      <c r="H361" s="7">
        <v>0.0</v>
      </c>
      <c r="I361" s="7">
        <v>350.0</v>
      </c>
      <c r="J361" s="7">
        <v>0.0</v>
      </c>
    </row>
    <row r="362" ht="15.75" customHeight="1">
      <c r="B362" s="7" t="s">
        <v>952</v>
      </c>
      <c r="C362" s="7" t="s">
        <v>953</v>
      </c>
      <c r="D362" s="7">
        <v>550.0</v>
      </c>
      <c r="E362" s="7">
        <v>0.0</v>
      </c>
      <c r="F362" s="7">
        <v>550.0</v>
      </c>
      <c r="G362" s="7">
        <v>0.0</v>
      </c>
      <c r="H362" s="7">
        <v>0.0</v>
      </c>
      <c r="I362" s="7">
        <v>550.0</v>
      </c>
      <c r="J362" s="7">
        <v>0.0</v>
      </c>
    </row>
    <row r="363" ht="15.75" customHeight="1">
      <c r="D363" s="7">
        <f t="shared" ref="D363:I363" si="56">SUM(D360:D362)</f>
        <v>1250</v>
      </c>
      <c r="E363" s="7">
        <f t="shared" si="56"/>
        <v>350</v>
      </c>
      <c r="F363" s="7">
        <f t="shared" si="56"/>
        <v>900</v>
      </c>
      <c r="G363" s="7">
        <f t="shared" si="56"/>
        <v>0</v>
      </c>
      <c r="H363" s="7">
        <f t="shared" si="56"/>
        <v>0</v>
      </c>
      <c r="I363" s="7">
        <f t="shared" si="56"/>
        <v>1250</v>
      </c>
      <c r="J363" s="7">
        <v>0.0</v>
      </c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</row>
    <row r="365" ht="15.75" customHeight="1">
      <c r="A365" s="57">
        <v>45589.0</v>
      </c>
      <c r="B365" s="7" t="s">
        <v>840</v>
      </c>
      <c r="C365" s="7" t="s">
        <v>954</v>
      </c>
      <c r="D365" s="7">
        <v>300.0</v>
      </c>
      <c r="E365" s="7">
        <v>0.0</v>
      </c>
      <c r="F365" s="7">
        <v>300.0</v>
      </c>
      <c r="G365" s="7">
        <v>0.0</v>
      </c>
      <c r="H365" s="7">
        <v>0.0</v>
      </c>
      <c r="I365" s="7">
        <v>300.0</v>
      </c>
      <c r="J365" s="7">
        <v>0.0</v>
      </c>
    </row>
    <row r="366" ht="15.75" customHeight="1">
      <c r="B366" s="7" t="s">
        <v>955</v>
      </c>
      <c r="C366" s="7" t="s">
        <v>956</v>
      </c>
      <c r="D366" s="7">
        <v>600.0</v>
      </c>
      <c r="E366" s="7">
        <v>0.0</v>
      </c>
      <c r="F366" s="7">
        <v>600.0</v>
      </c>
      <c r="G366" s="7">
        <v>0.0</v>
      </c>
      <c r="H366" s="7">
        <v>0.0</v>
      </c>
      <c r="I366" s="7">
        <v>500.0</v>
      </c>
      <c r="J366" s="7">
        <v>100.0</v>
      </c>
    </row>
    <row r="367" ht="15.75" customHeight="1">
      <c r="B367" s="7" t="s">
        <v>66</v>
      </c>
      <c r="C367" s="7" t="s">
        <v>957</v>
      </c>
      <c r="D367" s="7">
        <v>280.0</v>
      </c>
      <c r="E367" s="7">
        <v>0.0</v>
      </c>
      <c r="F367" s="7">
        <v>280.0</v>
      </c>
      <c r="G367" s="7">
        <v>0.0</v>
      </c>
      <c r="H367" s="7">
        <v>0.0</v>
      </c>
      <c r="I367" s="7">
        <v>280.0</v>
      </c>
      <c r="J367" s="7">
        <v>0.0</v>
      </c>
    </row>
    <row r="368" ht="15.75" customHeight="1">
      <c r="B368" s="7" t="s">
        <v>958</v>
      </c>
      <c r="C368" s="7" t="s">
        <v>959</v>
      </c>
      <c r="D368" s="7">
        <v>50.0</v>
      </c>
      <c r="E368" s="7">
        <v>50.0</v>
      </c>
      <c r="F368" s="7">
        <v>0.0</v>
      </c>
      <c r="G368" s="7">
        <v>0.0</v>
      </c>
      <c r="H368" s="7">
        <v>0.0</v>
      </c>
      <c r="I368" s="7">
        <v>50.0</v>
      </c>
      <c r="J368" s="7">
        <v>0.0</v>
      </c>
    </row>
    <row r="369" ht="15.75" customHeight="1">
      <c r="B369" s="7" t="s">
        <v>61</v>
      </c>
      <c r="C369" s="7" t="s">
        <v>176</v>
      </c>
      <c r="D369" s="7">
        <v>300.0</v>
      </c>
      <c r="E369" s="7">
        <v>0.0</v>
      </c>
      <c r="F369" s="7">
        <v>300.0</v>
      </c>
      <c r="G369" s="7">
        <v>0.0</v>
      </c>
      <c r="H369" s="7">
        <v>0.0</v>
      </c>
      <c r="I369" s="7">
        <v>0.0</v>
      </c>
      <c r="J369" s="7"/>
    </row>
    <row r="370" ht="15.75" customHeight="1">
      <c r="B370" s="7" t="s">
        <v>960</v>
      </c>
      <c r="C370" s="7" t="s">
        <v>961</v>
      </c>
      <c r="D370" s="7">
        <v>250.0</v>
      </c>
      <c r="E370" s="7">
        <v>0.0</v>
      </c>
      <c r="F370" s="7">
        <v>250.0</v>
      </c>
      <c r="G370" s="7">
        <v>0.0</v>
      </c>
      <c r="H370" s="7">
        <v>0.0</v>
      </c>
      <c r="I370" s="7">
        <v>250.0</v>
      </c>
      <c r="J370" s="7">
        <v>0.0</v>
      </c>
    </row>
    <row r="371" ht="15.75" customHeight="1">
      <c r="D371" s="7">
        <f t="shared" ref="D371:F371" si="57">SUM(D365:D370)</f>
        <v>1780</v>
      </c>
      <c r="E371" s="7">
        <f t="shared" si="57"/>
        <v>50</v>
      </c>
      <c r="F371" s="7">
        <f t="shared" si="57"/>
        <v>1730</v>
      </c>
      <c r="G371" s="7">
        <v>0.0</v>
      </c>
      <c r="H371" s="7">
        <v>0.0</v>
      </c>
      <c r="I371" s="7">
        <f>SUM(I365:I370)</f>
        <v>1380</v>
      </c>
      <c r="J371" s="7">
        <v>0.0</v>
      </c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</row>
    <row r="373" ht="15.75" customHeight="1">
      <c r="A373" s="57">
        <v>45593.0</v>
      </c>
      <c r="B373" s="7" t="s">
        <v>916</v>
      </c>
      <c r="C373" s="7" t="s">
        <v>962</v>
      </c>
      <c r="D373" s="7">
        <v>1500.0</v>
      </c>
      <c r="E373" s="7">
        <v>0.0</v>
      </c>
      <c r="F373" s="7">
        <v>0.0</v>
      </c>
      <c r="G373" s="7">
        <v>1500.0</v>
      </c>
      <c r="H373" s="7">
        <v>0.0</v>
      </c>
      <c r="I373" s="7">
        <v>1500.0</v>
      </c>
      <c r="J373" s="7">
        <v>0.0</v>
      </c>
    </row>
    <row r="374" ht="15.75" customHeight="1">
      <c r="B374" s="7" t="s">
        <v>900</v>
      </c>
      <c r="C374" s="7" t="s">
        <v>963</v>
      </c>
      <c r="D374" s="7">
        <v>20.0</v>
      </c>
      <c r="E374" s="7">
        <v>20.0</v>
      </c>
      <c r="F374" s="7">
        <v>0.0</v>
      </c>
      <c r="G374" s="7">
        <v>0.0</v>
      </c>
      <c r="H374" s="7">
        <v>0.0</v>
      </c>
      <c r="I374" s="7">
        <v>0.0</v>
      </c>
      <c r="J374" s="7">
        <v>20.0</v>
      </c>
    </row>
    <row r="375" ht="15.75" customHeight="1">
      <c r="B375" s="7" t="s">
        <v>964</v>
      </c>
      <c r="C375" s="7" t="s">
        <v>965</v>
      </c>
      <c r="D375" s="7">
        <v>50.0</v>
      </c>
      <c r="E375" s="7">
        <v>50.0</v>
      </c>
      <c r="F375" s="7">
        <v>0.0</v>
      </c>
      <c r="G375" s="7">
        <v>0.0</v>
      </c>
      <c r="H375" s="7">
        <v>0.0</v>
      </c>
      <c r="I375" s="7">
        <v>50.0</v>
      </c>
      <c r="J375" s="7">
        <v>0.0</v>
      </c>
    </row>
    <row r="376" ht="15.75" customHeight="1">
      <c r="D376" s="7">
        <f t="shared" ref="D376:E376" si="58">SUM(D373:D375)</f>
        <v>1570</v>
      </c>
      <c r="E376" s="7">
        <f t="shared" si="58"/>
        <v>70</v>
      </c>
      <c r="F376" s="7">
        <v>0.0</v>
      </c>
      <c r="G376" s="7">
        <f t="shared" ref="G376:H376" si="59">SUM(G373:G375)</f>
        <v>1500</v>
      </c>
      <c r="H376" s="7">
        <f t="shared" si="59"/>
        <v>0</v>
      </c>
      <c r="I376" s="7">
        <f>SUM(I372:I375)</f>
        <v>1550</v>
      </c>
      <c r="J376" s="7">
        <f>SUM(J373:J375)</f>
        <v>20</v>
      </c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</row>
    <row r="378" ht="15.75" customHeight="1">
      <c r="A378" s="57">
        <v>45594.0</v>
      </c>
      <c r="B378" s="7" t="s">
        <v>608</v>
      </c>
      <c r="C378" s="7" t="s">
        <v>966</v>
      </c>
      <c r="D378" s="7">
        <v>700.0</v>
      </c>
      <c r="E378" s="7">
        <v>700.0</v>
      </c>
      <c r="F378" s="7">
        <v>0.0</v>
      </c>
      <c r="G378" s="7">
        <v>0.0</v>
      </c>
      <c r="H378" s="7">
        <v>0.0</v>
      </c>
      <c r="I378" s="7">
        <v>700.0</v>
      </c>
      <c r="J378" s="7">
        <v>0.0</v>
      </c>
    </row>
    <row r="379" ht="15.75" customHeight="1">
      <c r="B379" s="7" t="s">
        <v>967</v>
      </c>
      <c r="C379" s="7" t="s">
        <v>702</v>
      </c>
      <c r="D379" s="7">
        <v>200.0</v>
      </c>
      <c r="E379" s="7">
        <v>200.0</v>
      </c>
      <c r="F379" s="7">
        <v>0.0</v>
      </c>
      <c r="G379" s="7">
        <v>0.0</v>
      </c>
      <c r="H379" s="7">
        <v>0.0</v>
      </c>
      <c r="I379" s="7">
        <v>200.0</v>
      </c>
      <c r="J379" s="7">
        <v>0.0</v>
      </c>
    </row>
    <row r="380" ht="15.75" customHeight="1">
      <c r="D380" s="7">
        <f t="shared" ref="D380:E380" si="60">SUM(D378:D379)</f>
        <v>900</v>
      </c>
      <c r="E380" s="7">
        <f t="shared" si="60"/>
        <v>900</v>
      </c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</row>
    <row r="382" ht="15.75" customHeight="1">
      <c r="A382" s="57">
        <v>45595.0</v>
      </c>
      <c r="B382" s="7" t="s">
        <v>964</v>
      </c>
      <c r="C382" s="7" t="s">
        <v>968</v>
      </c>
      <c r="D382" s="7">
        <v>190.0</v>
      </c>
      <c r="E382" s="7">
        <v>190.0</v>
      </c>
      <c r="F382" s="7">
        <v>0.0</v>
      </c>
      <c r="G382" s="7">
        <v>0.0</v>
      </c>
      <c r="H382" s="7">
        <v>0.0</v>
      </c>
      <c r="I382" s="7">
        <v>190.0</v>
      </c>
      <c r="J382" s="7">
        <v>0.0</v>
      </c>
    </row>
    <row r="383" ht="15.75" customHeight="1">
      <c r="B383" s="7" t="s">
        <v>743</v>
      </c>
      <c r="C383" s="7" t="s">
        <v>969</v>
      </c>
      <c r="D383" s="7">
        <v>100.0</v>
      </c>
      <c r="E383" s="7">
        <v>0.0</v>
      </c>
      <c r="F383" s="7">
        <v>100.0</v>
      </c>
      <c r="G383" s="7">
        <v>0.0</v>
      </c>
      <c r="H383" s="7">
        <v>0.0</v>
      </c>
      <c r="I383" s="7">
        <v>100.0</v>
      </c>
      <c r="J383" s="7">
        <v>0.0</v>
      </c>
    </row>
    <row r="384" ht="15.75" customHeight="1">
      <c r="B384" s="7" t="s">
        <v>970</v>
      </c>
      <c r="C384" s="7" t="s">
        <v>448</v>
      </c>
      <c r="D384" s="7">
        <v>300.0</v>
      </c>
      <c r="E384" s="7">
        <v>300.0</v>
      </c>
      <c r="F384" s="7">
        <v>0.0</v>
      </c>
      <c r="G384" s="7">
        <v>0.0</v>
      </c>
      <c r="H384" s="7">
        <v>0.0</v>
      </c>
      <c r="I384" s="7">
        <v>300.0</v>
      </c>
      <c r="J384" s="7">
        <v>0.0</v>
      </c>
    </row>
    <row r="385" ht="15.75" customHeight="1">
      <c r="D385" s="7">
        <f t="shared" ref="D385:E385" si="61">SUM(D382:D384)</f>
        <v>590</v>
      </c>
      <c r="E385" s="7">
        <f t="shared" si="61"/>
        <v>490</v>
      </c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</row>
    <row r="387" ht="15.75" customHeight="1">
      <c r="A387" s="57">
        <v>45596.0</v>
      </c>
      <c r="B387" s="7" t="s">
        <v>872</v>
      </c>
      <c r="C387" s="7" t="s">
        <v>971</v>
      </c>
      <c r="D387" s="7">
        <v>600.0</v>
      </c>
      <c r="E387" s="7">
        <v>0.0</v>
      </c>
      <c r="F387" s="7">
        <v>600.0</v>
      </c>
      <c r="G387" s="7">
        <v>0.0</v>
      </c>
      <c r="H387" s="7">
        <v>0.0</v>
      </c>
      <c r="I387" s="7">
        <v>600.0</v>
      </c>
      <c r="J387" s="7">
        <v>0.0</v>
      </c>
    </row>
    <row r="388" ht="15.75" customHeight="1">
      <c r="B388" s="7" t="s">
        <v>972</v>
      </c>
      <c r="C388" s="7" t="s">
        <v>973</v>
      </c>
      <c r="D388" s="7">
        <v>350.0</v>
      </c>
      <c r="E388" s="7">
        <v>350.0</v>
      </c>
      <c r="F388" s="7">
        <v>0.0</v>
      </c>
      <c r="G388" s="7">
        <v>0.0</v>
      </c>
      <c r="H388" s="7">
        <v>0.0</v>
      </c>
      <c r="I388" s="7">
        <v>350.0</v>
      </c>
      <c r="J388" s="7">
        <v>0.0</v>
      </c>
    </row>
    <row r="389" ht="15.75" customHeight="1">
      <c r="B389" s="7" t="s">
        <v>117</v>
      </c>
      <c r="C389" s="7" t="s">
        <v>974</v>
      </c>
      <c r="D389" s="7">
        <v>280.0</v>
      </c>
      <c r="E389" s="7">
        <v>280.0</v>
      </c>
      <c r="F389" s="7">
        <v>0.0</v>
      </c>
      <c r="G389" s="7">
        <v>0.0</v>
      </c>
      <c r="H389" s="7">
        <v>0.0</v>
      </c>
      <c r="I389" s="7">
        <v>280.0</v>
      </c>
      <c r="J389" s="7">
        <v>0.0</v>
      </c>
    </row>
    <row r="390" ht="15.75" customHeight="1">
      <c r="D390" s="7">
        <f t="shared" ref="D390:J390" si="62">SUM(D387:D389)</f>
        <v>1230</v>
      </c>
      <c r="E390" s="7">
        <f t="shared" si="62"/>
        <v>630</v>
      </c>
      <c r="F390" s="7">
        <f t="shared" si="62"/>
        <v>600</v>
      </c>
      <c r="G390" s="7">
        <f t="shared" si="62"/>
        <v>0</v>
      </c>
      <c r="H390" s="7">
        <f t="shared" si="62"/>
        <v>0</v>
      </c>
      <c r="I390" s="7">
        <f t="shared" si="62"/>
        <v>1230</v>
      </c>
      <c r="J390" s="7">
        <f t="shared" si="62"/>
        <v>0</v>
      </c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L391" s="28" t="s">
        <v>48</v>
      </c>
    </row>
    <row r="392" ht="15.75" customHeight="1">
      <c r="A392" s="25">
        <v>45600.0</v>
      </c>
      <c r="B392" s="7" t="s">
        <v>56</v>
      </c>
      <c r="C392" s="7" t="s">
        <v>975</v>
      </c>
      <c r="D392" s="7">
        <v>1250.0</v>
      </c>
      <c r="E392" s="7">
        <v>0.0</v>
      </c>
      <c r="F392" s="7">
        <v>0.0</v>
      </c>
      <c r="G392" s="7">
        <v>1250.0</v>
      </c>
      <c r="H392" s="7">
        <v>0.0</v>
      </c>
      <c r="I392" s="7">
        <v>1250.0</v>
      </c>
      <c r="J392" s="7">
        <v>0.0</v>
      </c>
    </row>
    <row r="393" ht="15.75" customHeight="1">
      <c r="B393" s="7" t="s">
        <v>614</v>
      </c>
      <c r="C393" s="7" t="s">
        <v>976</v>
      </c>
      <c r="D393" s="7">
        <v>600.0</v>
      </c>
      <c r="E393" s="7">
        <v>0.0</v>
      </c>
      <c r="F393" s="7">
        <v>600.0</v>
      </c>
      <c r="G393" s="7">
        <v>0.0</v>
      </c>
      <c r="H393" s="7">
        <v>0.0</v>
      </c>
      <c r="I393" s="7">
        <v>600.0</v>
      </c>
      <c r="J393" s="7">
        <v>0.0</v>
      </c>
      <c r="L393" s="7" t="s">
        <v>13</v>
      </c>
      <c r="M393" s="7" t="s">
        <v>10</v>
      </c>
      <c r="N393" s="7" t="s">
        <v>11</v>
      </c>
      <c r="O393" s="7" t="s">
        <v>14</v>
      </c>
    </row>
    <row r="394" ht="15.75" customHeight="1">
      <c r="B394" s="7" t="s">
        <v>977</v>
      </c>
      <c r="C394" s="7" t="s">
        <v>978</v>
      </c>
      <c r="D394" s="7">
        <v>350.0</v>
      </c>
      <c r="E394" s="7">
        <v>0.0</v>
      </c>
      <c r="F394" s="7">
        <v>350.0</v>
      </c>
      <c r="G394" s="7">
        <v>0.0</v>
      </c>
      <c r="H394" s="7">
        <v>0.0</v>
      </c>
      <c r="I394" s="7">
        <v>350.0</v>
      </c>
      <c r="J394" s="7">
        <v>0.0</v>
      </c>
      <c r="L394" s="7">
        <v>2200.0</v>
      </c>
      <c r="M394" s="7">
        <v>0.0</v>
      </c>
      <c r="N394" s="7">
        <v>950.0</v>
      </c>
      <c r="O394" s="7">
        <v>1250.0</v>
      </c>
    </row>
    <row r="395" ht="15.75" customHeight="1">
      <c r="D395" s="7">
        <f t="shared" ref="D395:J395" si="63">SUM(D392:D394)</f>
        <v>2200</v>
      </c>
      <c r="E395" s="7">
        <f t="shared" si="63"/>
        <v>0</v>
      </c>
      <c r="F395" s="7">
        <f t="shared" si="63"/>
        <v>950</v>
      </c>
      <c r="G395" s="7">
        <f t="shared" si="63"/>
        <v>1250</v>
      </c>
      <c r="H395" s="7">
        <f t="shared" si="63"/>
        <v>0</v>
      </c>
      <c r="I395" s="7">
        <f t="shared" si="63"/>
        <v>2200</v>
      </c>
      <c r="J395" s="7">
        <f t="shared" si="63"/>
        <v>0</v>
      </c>
      <c r="L395" s="7">
        <v>600.0</v>
      </c>
      <c r="M395" s="7">
        <v>0.0</v>
      </c>
      <c r="N395" s="7">
        <v>600.0</v>
      </c>
      <c r="O395" s="7">
        <v>0.0</v>
      </c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L396" s="7">
        <v>2620.0</v>
      </c>
      <c r="M396" s="7">
        <v>1600.0</v>
      </c>
      <c r="N396" s="7">
        <v>1020.0</v>
      </c>
      <c r="O396" s="7">
        <v>0.0</v>
      </c>
    </row>
    <row r="397" ht="15.75" customHeight="1">
      <c r="A397" s="25">
        <v>45601.0</v>
      </c>
      <c r="B397" s="7" t="s">
        <v>940</v>
      </c>
      <c r="C397" s="7" t="s">
        <v>979</v>
      </c>
      <c r="D397" s="7">
        <v>350.0</v>
      </c>
      <c r="E397" s="7">
        <v>0.0</v>
      </c>
      <c r="F397" s="7">
        <v>350.0</v>
      </c>
      <c r="G397" s="7">
        <v>0.0</v>
      </c>
      <c r="H397" s="7">
        <v>0.0</v>
      </c>
      <c r="I397" s="7">
        <v>350.0</v>
      </c>
      <c r="J397" s="7">
        <v>0.0</v>
      </c>
      <c r="L397" s="7">
        <v>120.0</v>
      </c>
      <c r="M397" s="7">
        <v>100.0</v>
      </c>
      <c r="N397" s="7">
        <v>20.0</v>
      </c>
      <c r="O397" s="7">
        <v>0.0</v>
      </c>
    </row>
    <row r="398" ht="15.75" customHeight="1">
      <c r="B398" s="7" t="s">
        <v>612</v>
      </c>
      <c r="C398" s="7" t="s">
        <v>980</v>
      </c>
      <c r="D398" s="7">
        <v>250.0</v>
      </c>
      <c r="E398" s="7">
        <v>0.0</v>
      </c>
      <c r="F398" s="7">
        <v>250.0</v>
      </c>
      <c r="G398" s="7">
        <v>0.0</v>
      </c>
      <c r="H398" s="7">
        <v>0.0</v>
      </c>
      <c r="I398" s="7">
        <v>350.0</v>
      </c>
      <c r="J398" s="7">
        <v>0.0</v>
      </c>
      <c r="L398" s="7">
        <v>50.0</v>
      </c>
      <c r="M398" s="7">
        <v>0.0</v>
      </c>
      <c r="N398" s="7">
        <v>50.0</v>
      </c>
      <c r="O398" s="7">
        <v>0.0</v>
      </c>
    </row>
    <row r="399" ht="15.75" customHeight="1">
      <c r="D399" s="7">
        <f>SUM(D397:D398)</f>
        <v>600</v>
      </c>
      <c r="L399" s="7">
        <v>1540.0</v>
      </c>
      <c r="M399" s="7">
        <v>600.0</v>
      </c>
      <c r="N399" s="7">
        <v>50.0</v>
      </c>
      <c r="O399" s="7">
        <v>890.0</v>
      </c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L400" s="7">
        <v>1435.0</v>
      </c>
      <c r="M400" s="7">
        <v>400.0</v>
      </c>
      <c r="N400" s="7">
        <v>735.0</v>
      </c>
      <c r="O400" s="7">
        <v>0.0</v>
      </c>
    </row>
    <row r="401" ht="15.75" customHeight="1">
      <c r="A401" s="25">
        <v>45602.0</v>
      </c>
      <c r="B401" s="7" t="s">
        <v>981</v>
      </c>
      <c r="C401" s="7" t="s">
        <v>982</v>
      </c>
      <c r="D401" s="7">
        <v>750.0</v>
      </c>
      <c r="E401" s="7">
        <v>750.0</v>
      </c>
      <c r="F401" s="7">
        <v>0.0</v>
      </c>
      <c r="G401" s="7">
        <v>0.0</v>
      </c>
      <c r="H401" s="7">
        <v>0.0</v>
      </c>
      <c r="I401" s="7">
        <v>750.0</v>
      </c>
      <c r="J401" s="7">
        <v>0.0</v>
      </c>
      <c r="L401" s="7">
        <v>3000.0</v>
      </c>
      <c r="M401" s="7">
        <v>2000.0</v>
      </c>
      <c r="N401" s="7">
        <v>850.0</v>
      </c>
      <c r="O401" s="7">
        <v>150.0</v>
      </c>
    </row>
    <row r="402" ht="15.75" customHeight="1">
      <c r="B402" s="7" t="s">
        <v>380</v>
      </c>
      <c r="C402" s="7" t="s">
        <v>983</v>
      </c>
      <c r="D402" s="7">
        <v>500.0</v>
      </c>
      <c r="E402" s="7">
        <v>500.0</v>
      </c>
      <c r="F402" s="7">
        <v>0.0</v>
      </c>
      <c r="G402" s="7">
        <v>0.0</v>
      </c>
      <c r="H402" s="7">
        <v>0.0</v>
      </c>
      <c r="I402" s="7">
        <v>500.0</v>
      </c>
      <c r="J402" s="7">
        <v>0.0</v>
      </c>
      <c r="L402" s="7">
        <v>250.0</v>
      </c>
      <c r="M402" s="7">
        <v>0.0</v>
      </c>
      <c r="N402" s="7">
        <v>0.0</v>
      </c>
      <c r="O402" s="7">
        <v>250.0</v>
      </c>
    </row>
    <row r="403" ht="15.75" customHeight="1">
      <c r="B403" s="16" t="s">
        <v>860</v>
      </c>
      <c r="C403" s="7" t="s">
        <v>984</v>
      </c>
      <c r="D403" s="7">
        <v>100.0</v>
      </c>
      <c r="E403" s="7">
        <v>0.0</v>
      </c>
      <c r="F403" s="7">
        <v>100.0</v>
      </c>
      <c r="G403" s="7">
        <v>0.0</v>
      </c>
      <c r="H403" s="7">
        <v>0.0</v>
      </c>
      <c r="I403" s="7">
        <v>100.0</v>
      </c>
      <c r="J403" s="7">
        <v>0.0</v>
      </c>
      <c r="L403" s="7">
        <v>600.0</v>
      </c>
      <c r="M403" s="7">
        <v>500.0</v>
      </c>
      <c r="N403" s="7">
        <v>50.0</v>
      </c>
      <c r="O403" s="7">
        <v>50.0</v>
      </c>
    </row>
    <row r="404" ht="15.75" customHeight="1">
      <c r="B404" s="7" t="s">
        <v>985</v>
      </c>
      <c r="C404" s="7" t="s">
        <v>986</v>
      </c>
      <c r="D404" s="7">
        <v>350.0</v>
      </c>
      <c r="E404" s="7">
        <v>350.0</v>
      </c>
      <c r="F404" s="7">
        <v>0.0</v>
      </c>
      <c r="G404" s="7">
        <v>0.0</v>
      </c>
      <c r="H404" s="7">
        <v>0.0</v>
      </c>
      <c r="I404" s="7">
        <v>350.0</v>
      </c>
      <c r="J404" s="7">
        <v>0.0</v>
      </c>
      <c r="L404" s="7">
        <v>990.0</v>
      </c>
      <c r="M404" s="7">
        <v>250.0</v>
      </c>
      <c r="N404" s="7">
        <v>650.0</v>
      </c>
      <c r="O404" s="7">
        <v>0.0</v>
      </c>
    </row>
    <row r="405" ht="15.75" customHeight="1">
      <c r="B405" s="7" t="s">
        <v>109</v>
      </c>
      <c r="C405" s="7" t="s">
        <v>987</v>
      </c>
      <c r="D405" s="7">
        <v>100.0</v>
      </c>
      <c r="E405" s="7">
        <v>0.0</v>
      </c>
      <c r="F405" s="7">
        <v>100.0</v>
      </c>
      <c r="G405" s="7">
        <v>0.0</v>
      </c>
      <c r="H405" s="7">
        <v>0.0</v>
      </c>
      <c r="I405" s="7">
        <v>100.0</v>
      </c>
      <c r="J405" s="7">
        <v>0.0</v>
      </c>
      <c r="L405" s="7">
        <v>1350.0</v>
      </c>
      <c r="M405" s="7">
        <v>300.0</v>
      </c>
      <c r="N405" s="7">
        <v>300.0</v>
      </c>
      <c r="O405" s="7">
        <v>750.0</v>
      </c>
    </row>
    <row r="406" ht="15.75" customHeight="1">
      <c r="B406" s="7" t="s">
        <v>988</v>
      </c>
      <c r="C406" s="7" t="s">
        <v>989</v>
      </c>
      <c r="D406" s="7">
        <v>540.0</v>
      </c>
      <c r="E406" s="7">
        <v>0.0</v>
      </c>
      <c r="F406" s="7">
        <v>540.0</v>
      </c>
      <c r="G406" s="7">
        <v>0.0</v>
      </c>
      <c r="H406" s="7">
        <v>0.0</v>
      </c>
      <c r="I406" s="7">
        <v>500.0</v>
      </c>
      <c r="J406" s="7">
        <v>40.0</v>
      </c>
      <c r="L406" s="7">
        <v>1200.0</v>
      </c>
      <c r="M406" s="7">
        <v>0.0</v>
      </c>
      <c r="N406" s="7">
        <v>1050.0</v>
      </c>
      <c r="O406" s="7">
        <v>150.0</v>
      </c>
    </row>
    <row r="407" ht="15.75" customHeight="1">
      <c r="B407" s="7" t="s">
        <v>250</v>
      </c>
      <c r="C407" s="7" t="s">
        <v>990</v>
      </c>
      <c r="D407" s="7">
        <v>280.0</v>
      </c>
      <c r="E407" s="7">
        <v>0.0</v>
      </c>
      <c r="F407" s="7">
        <v>280.0</v>
      </c>
      <c r="G407" s="7">
        <v>0.0</v>
      </c>
      <c r="H407" s="7">
        <v>0.0</v>
      </c>
      <c r="I407" s="7">
        <v>280.0</v>
      </c>
      <c r="J407" s="7">
        <v>0.0</v>
      </c>
      <c r="L407" s="7">
        <v>1200.0</v>
      </c>
      <c r="M407" s="7">
        <v>350.0</v>
      </c>
      <c r="N407" s="7">
        <v>750.0</v>
      </c>
      <c r="O407" s="7">
        <v>100.0</v>
      </c>
    </row>
    <row r="408" ht="15.75" customHeight="1">
      <c r="D408" s="7">
        <f t="shared" ref="D408:F408" si="64">SUM(D401:D407)</f>
        <v>2620</v>
      </c>
      <c r="E408" s="7">
        <f t="shared" si="64"/>
        <v>1600</v>
      </c>
      <c r="F408" s="7">
        <f t="shared" si="64"/>
        <v>1020</v>
      </c>
      <c r="G408" s="7">
        <v>0.0</v>
      </c>
      <c r="H408" s="7">
        <v>0.0</v>
      </c>
      <c r="I408" s="7">
        <f>SUM(I401:I407)</f>
        <v>2580</v>
      </c>
      <c r="J408" s="7">
        <v>0.0</v>
      </c>
      <c r="L408" s="7">
        <v>1050.0</v>
      </c>
      <c r="M408" s="7">
        <v>300.0</v>
      </c>
      <c r="N408" s="7">
        <v>750.0</v>
      </c>
      <c r="O408" s="7">
        <v>0.0</v>
      </c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L409" s="7">
        <v>1485.0</v>
      </c>
      <c r="M409" s="7">
        <v>300.0</v>
      </c>
      <c r="N409" s="7">
        <v>485.0</v>
      </c>
      <c r="O409" s="7">
        <v>750.0</v>
      </c>
    </row>
    <row r="410" ht="15.75" customHeight="1">
      <c r="A410" s="25">
        <v>45603.0</v>
      </c>
      <c r="B410" s="7" t="s">
        <v>991</v>
      </c>
      <c r="C410" s="7" t="s">
        <v>992</v>
      </c>
      <c r="D410" s="7">
        <v>20.0</v>
      </c>
      <c r="E410" s="7">
        <v>0.0</v>
      </c>
      <c r="F410" s="7">
        <v>20.0</v>
      </c>
      <c r="G410" s="7">
        <v>0.0</v>
      </c>
      <c r="H410" s="7">
        <v>0.0</v>
      </c>
      <c r="I410" s="7">
        <v>20.0</v>
      </c>
      <c r="J410" s="7">
        <v>0.0</v>
      </c>
      <c r="L410" s="7">
        <v>1300.0</v>
      </c>
      <c r="M410" s="7">
        <v>0.0</v>
      </c>
      <c r="N410" s="7">
        <v>1300.0</v>
      </c>
      <c r="O410" s="7">
        <v>0.0</v>
      </c>
    </row>
    <row r="411" ht="15.75" customHeight="1">
      <c r="B411" s="7" t="s">
        <v>838</v>
      </c>
      <c r="C411" s="7" t="s">
        <v>993</v>
      </c>
      <c r="D411" s="7">
        <v>100.0</v>
      </c>
      <c r="E411" s="7">
        <v>100.0</v>
      </c>
      <c r="F411" s="7">
        <v>0.0</v>
      </c>
      <c r="G411" s="7">
        <v>0.0</v>
      </c>
      <c r="H411" s="7">
        <v>0.0</v>
      </c>
      <c r="I411" s="7">
        <v>100.0</v>
      </c>
      <c r="J411" s="7">
        <v>0.0</v>
      </c>
      <c r="L411" s="7">
        <v>100.0</v>
      </c>
      <c r="M411" s="7">
        <v>50.0</v>
      </c>
      <c r="N411" s="7">
        <v>50.0</v>
      </c>
      <c r="O411" s="7">
        <v>0.0</v>
      </c>
    </row>
    <row r="412" ht="15.75" customHeight="1">
      <c r="D412" s="7">
        <f t="shared" ref="D412:G412" si="65">SUM(D410:D411)</f>
        <v>120</v>
      </c>
      <c r="E412" s="7">
        <f t="shared" si="65"/>
        <v>100</v>
      </c>
      <c r="F412" s="7">
        <f t="shared" si="65"/>
        <v>20</v>
      </c>
      <c r="G412" s="7">
        <f t="shared" si="65"/>
        <v>0</v>
      </c>
      <c r="H412" s="7">
        <v>0.0</v>
      </c>
      <c r="I412" s="7">
        <v>0.0</v>
      </c>
      <c r="J412" s="7">
        <v>0.0</v>
      </c>
      <c r="L412" s="7">
        <f t="shared" ref="L412:O412" si="66">SUM(L394:L411)</f>
        <v>21090</v>
      </c>
      <c r="M412" s="7">
        <f t="shared" si="66"/>
        <v>6750</v>
      </c>
      <c r="N412" s="7">
        <f t="shared" si="66"/>
        <v>9660</v>
      </c>
      <c r="O412" s="7">
        <f t="shared" si="66"/>
        <v>4340</v>
      </c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</row>
    <row r="414" ht="15.75" customHeight="1">
      <c r="A414" s="25">
        <v>45604.0</v>
      </c>
      <c r="B414" s="7" t="s">
        <v>994</v>
      </c>
      <c r="C414" s="7" t="s">
        <v>995</v>
      </c>
      <c r="D414" s="7">
        <v>50.0</v>
      </c>
      <c r="E414" s="7">
        <v>0.0</v>
      </c>
      <c r="F414" s="7">
        <v>50.0</v>
      </c>
      <c r="G414" s="7">
        <v>0.0</v>
      </c>
      <c r="H414" s="7">
        <v>0.0</v>
      </c>
      <c r="I414" s="7">
        <v>50.0</v>
      </c>
      <c r="J414" s="7">
        <v>0.0</v>
      </c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</row>
    <row r="416" ht="15.75" customHeight="1">
      <c r="A416" s="57">
        <v>45607.0</v>
      </c>
      <c r="B416" s="7" t="s">
        <v>996</v>
      </c>
      <c r="C416" s="7" t="s">
        <v>997</v>
      </c>
      <c r="D416" s="7">
        <v>750.0</v>
      </c>
      <c r="E416" s="7">
        <v>0.0</v>
      </c>
      <c r="F416" s="7">
        <v>0.0</v>
      </c>
      <c r="G416" s="7">
        <v>750.0</v>
      </c>
      <c r="H416" s="7">
        <v>0.0</v>
      </c>
      <c r="I416" s="7">
        <v>750.0</v>
      </c>
      <c r="J416" s="7">
        <v>0.0</v>
      </c>
    </row>
    <row r="417" ht="15.75" customHeight="1">
      <c r="B417" s="7" t="s">
        <v>813</v>
      </c>
      <c r="C417" s="7" t="s">
        <v>998</v>
      </c>
      <c r="D417" s="7">
        <v>350.0</v>
      </c>
      <c r="E417" s="7">
        <v>350.0</v>
      </c>
      <c r="F417" s="7">
        <v>0.0</v>
      </c>
      <c r="G417" s="7">
        <v>0.0</v>
      </c>
      <c r="H417" s="7">
        <v>0.0</v>
      </c>
      <c r="I417" s="7">
        <v>350.0</v>
      </c>
      <c r="J417" s="7">
        <v>0.0</v>
      </c>
    </row>
    <row r="418" ht="15.75" customHeight="1">
      <c r="B418" s="7" t="s">
        <v>919</v>
      </c>
      <c r="C418" s="7" t="s">
        <v>999</v>
      </c>
      <c r="D418" s="7">
        <v>200.0</v>
      </c>
      <c r="E418" s="7">
        <v>200.0</v>
      </c>
      <c r="F418" s="7">
        <v>0.0</v>
      </c>
      <c r="G418" s="7">
        <v>0.0</v>
      </c>
      <c r="H418" s="7">
        <v>0.0</v>
      </c>
      <c r="I418" s="7">
        <v>200.0</v>
      </c>
      <c r="J418" s="7">
        <v>0.0</v>
      </c>
    </row>
    <row r="419" ht="15.75" customHeight="1">
      <c r="B419" s="7" t="s">
        <v>1000</v>
      </c>
      <c r="C419" s="7" t="s">
        <v>1001</v>
      </c>
      <c r="D419" s="7">
        <v>50.0</v>
      </c>
      <c r="E419" s="7">
        <v>50.0</v>
      </c>
      <c r="F419" s="7">
        <v>0.0</v>
      </c>
      <c r="G419" s="7">
        <v>0.0</v>
      </c>
      <c r="H419" s="7">
        <v>0.0</v>
      </c>
      <c r="I419" s="7">
        <v>50.0</v>
      </c>
      <c r="J419" s="7">
        <v>0.0</v>
      </c>
    </row>
    <row r="420" ht="15.75" customHeight="1">
      <c r="B420" s="7" t="s">
        <v>1002</v>
      </c>
      <c r="C420" s="7" t="s">
        <v>927</v>
      </c>
      <c r="D420" s="7">
        <v>50.0</v>
      </c>
      <c r="E420" s="7">
        <v>0.0</v>
      </c>
      <c r="F420" s="7">
        <v>0.0</v>
      </c>
      <c r="G420" s="7">
        <v>50.0</v>
      </c>
      <c r="H420" s="7"/>
      <c r="I420" s="7"/>
      <c r="J420" s="7"/>
    </row>
    <row r="421" ht="15.75" customHeight="1">
      <c r="B421" s="7" t="s">
        <v>1003</v>
      </c>
      <c r="C421" s="7" t="s">
        <v>1004</v>
      </c>
      <c r="D421" s="7">
        <v>90.0</v>
      </c>
      <c r="E421" s="7">
        <v>0.0</v>
      </c>
      <c r="F421" s="7">
        <v>0.0</v>
      </c>
      <c r="G421" s="7">
        <v>90.0</v>
      </c>
      <c r="H421" s="7">
        <v>0.0</v>
      </c>
      <c r="I421" s="7">
        <v>50.0</v>
      </c>
      <c r="J421" s="7">
        <v>0.0</v>
      </c>
    </row>
    <row r="422" ht="15.75" customHeight="1">
      <c r="B422" s="7" t="s">
        <v>1005</v>
      </c>
      <c r="C422" s="7" t="s">
        <v>1006</v>
      </c>
      <c r="D422" s="7">
        <v>50.0</v>
      </c>
      <c r="E422" s="7">
        <v>0.0</v>
      </c>
      <c r="F422" s="7">
        <v>50.0</v>
      </c>
      <c r="G422" s="7">
        <v>0.0</v>
      </c>
      <c r="H422" s="7">
        <v>0.0</v>
      </c>
      <c r="I422" s="7">
        <v>0.0</v>
      </c>
      <c r="J422" s="7">
        <v>50.0</v>
      </c>
    </row>
    <row r="423" ht="15.75" customHeight="1">
      <c r="D423" s="7">
        <f t="shared" ref="D423:E423" si="67">SUM(D416:D422)</f>
        <v>1540</v>
      </c>
      <c r="E423" s="7">
        <f t="shared" si="67"/>
        <v>600</v>
      </c>
      <c r="F423" s="7">
        <v>50.0</v>
      </c>
      <c r="G423" s="7">
        <f>SUM(G416:G422)</f>
        <v>890</v>
      </c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</row>
    <row r="425" ht="15.75" customHeight="1">
      <c r="A425" s="57">
        <v>45608.0</v>
      </c>
      <c r="B425" s="7" t="s">
        <v>1007</v>
      </c>
      <c r="C425" s="7" t="s">
        <v>1008</v>
      </c>
      <c r="D425" s="7">
        <v>150.0</v>
      </c>
      <c r="E425" s="7">
        <v>150.0</v>
      </c>
      <c r="F425" s="7">
        <v>0.0</v>
      </c>
      <c r="G425" s="7">
        <v>0.0</v>
      </c>
      <c r="H425" s="7">
        <v>0.0</v>
      </c>
      <c r="I425" s="7">
        <v>150.0</v>
      </c>
      <c r="J425" s="7">
        <v>0.0</v>
      </c>
    </row>
    <row r="426" ht="15.75" customHeight="1">
      <c r="B426" s="7" t="s">
        <v>487</v>
      </c>
      <c r="C426" s="7" t="s">
        <v>1009</v>
      </c>
      <c r="D426" s="7">
        <v>50.0</v>
      </c>
      <c r="E426" s="7">
        <v>0.0</v>
      </c>
      <c r="F426" s="7">
        <v>0.0</v>
      </c>
      <c r="G426" s="7">
        <v>50.0</v>
      </c>
      <c r="H426" s="7">
        <v>0.0</v>
      </c>
      <c r="I426" s="7">
        <v>50.0</v>
      </c>
      <c r="J426" s="7">
        <v>0.0</v>
      </c>
    </row>
    <row r="427" ht="15.75" customHeight="1">
      <c r="B427" s="7" t="s">
        <v>1010</v>
      </c>
      <c r="C427" s="7" t="s">
        <v>1011</v>
      </c>
      <c r="D427" s="7">
        <v>50.0</v>
      </c>
      <c r="E427" s="7"/>
      <c r="F427" s="7"/>
      <c r="G427" s="7">
        <v>50.0</v>
      </c>
      <c r="H427" s="7"/>
      <c r="I427" s="7"/>
      <c r="J427" s="7"/>
    </row>
    <row r="428" ht="15.75" customHeight="1">
      <c r="D428" s="7">
        <f>SUM(D425:D427)</f>
        <v>250</v>
      </c>
      <c r="E428" s="7">
        <f>SUM(E425:E426)</f>
        <v>150</v>
      </c>
      <c r="G428" s="7">
        <f>SUM(G425:G426)</f>
        <v>50</v>
      </c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</row>
    <row r="430" ht="15.75" customHeight="1">
      <c r="A430" s="57">
        <v>45609.0</v>
      </c>
      <c r="B430" s="7" t="s">
        <v>109</v>
      </c>
      <c r="C430" s="7" t="s">
        <v>1012</v>
      </c>
      <c r="D430" s="7">
        <v>600.0</v>
      </c>
      <c r="E430" s="7">
        <v>0.0</v>
      </c>
      <c r="F430" s="7">
        <v>300.0</v>
      </c>
      <c r="G430" s="7">
        <v>0.0</v>
      </c>
      <c r="H430" s="7">
        <v>0.0</v>
      </c>
      <c r="I430" s="7">
        <v>600.0</v>
      </c>
      <c r="J430" s="7">
        <v>0.0</v>
      </c>
    </row>
    <row r="431" ht="15.75" customHeight="1">
      <c r="B431" s="7" t="s">
        <v>349</v>
      </c>
      <c r="C431" s="7" t="s">
        <v>1013</v>
      </c>
      <c r="D431" s="7">
        <v>400.0</v>
      </c>
      <c r="E431" s="7">
        <v>400.0</v>
      </c>
      <c r="F431" s="7">
        <v>0.0</v>
      </c>
      <c r="G431" s="7">
        <v>0.0</v>
      </c>
      <c r="H431" s="7">
        <v>0.0</v>
      </c>
      <c r="I431" s="7">
        <v>400.0</v>
      </c>
      <c r="J431" s="7">
        <v>0.0</v>
      </c>
    </row>
    <row r="432" ht="15.75" customHeight="1">
      <c r="B432" s="7" t="s">
        <v>1014</v>
      </c>
      <c r="C432" s="7" t="s">
        <v>1015</v>
      </c>
      <c r="D432" s="7">
        <v>150.0</v>
      </c>
      <c r="E432" s="7">
        <v>0.0</v>
      </c>
      <c r="F432" s="7">
        <v>150.0</v>
      </c>
      <c r="G432" s="7">
        <v>0.0</v>
      </c>
      <c r="H432" s="7">
        <v>0.0</v>
      </c>
      <c r="I432" s="7">
        <v>150.0</v>
      </c>
      <c r="J432" s="7">
        <v>0.0</v>
      </c>
    </row>
    <row r="433" ht="15.75" customHeight="1">
      <c r="B433" s="7" t="s">
        <v>1016</v>
      </c>
      <c r="C433" s="7" t="s">
        <v>1017</v>
      </c>
      <c r="D433" s="7">
        <v>285.0</v>
      </c>
      <c r="E433" s="7">
        <v>0.0</v>
      </c>
      <c r="F433" s="7">
        <v>285.0</v>
      </c>
      <c r="G433" s="7">
        <v>0.0</v>
      </c>
      <c r="H433" s="7">
        <v>0.0</v>
      </c>
      <c r="I433" s="7">
        <v>250.0</v>
      </c>
      <c r="J433" s="7">
        <v>35.0</v>
      </c>
    </row>
    <row r="434" ht="15.75" customHeight="1">
      <c r="D434" s="7">
        <f t="shared" ref="D434:J434" si="68">SUM(D430:D433)</f>
        <v>1435</v>
      </c>
      <c r="E434" s="7">
        <f t="shared" si="68"/>
        <v>400</v>
      </c>
      <c r="F434" s="7">
        <f t="shared" si="68"/>
        <v>735</v>
      </c>
      <c r="G434" s="7">
        <f t="shared" si="68"/>
        <v>0</v>
      </c>
      <c r="H434" s="7">
        <f t="shared" si="68"/>
        <v>0</v>
      </c>
      <c r="I434" s="7">
        <f t="shared" si="68"/>
        <v>1400</v>
      </c>
      <c r="J434" s="7">
        <f t="shared" si="68"/>
        <v>35</v>
      </c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</row>
    <row r="436" ht="15.75" customHeight="1">
      <c r="A436" s="57">
        <v>45610.0</v>
      </c>
      <c r="B436" s="7" t="s">
        <v>1018</v>
      </c>
      <c r="C436" s="7" t="s">
        <v>1019</v>
      </c>
      <c r="D436" s="7">
        <v>50.0</v>
      </c>
      <c r="E436" s="7">
        <v>0.0</v>
      </c>
      <c r="F436" s="7">
        <v>0.0</v>
      </c>
      <c r="G436" s="7">
        <v>50.0</v>
      </c>
      <c r="H436" s="7">
        <v>0.0</v>
      </c>
      <c r="I436" s="7">
        <v>50.0</v>
      </c>
      <c r="J436" s="7">
        <v>0.0</v>
      </c>
    </row>
    <row r="437" ht="15.75" customHeight="1">
      <c r="B437" s="7" t="s">
        <v>96</v>
      </c>
      <c r="C437" s="7" t="s">
        <v>1020</v>
      </c>
      <c r="D437" s="7">
        <v>1000.0</v>
      </c>
      <c r="E437" s="7">
        <v>1000.0</v>
      </c>
      <c r="F437" s="7">
        <v>0.0</v>
      </c>
      <c r="G437" s="7">
        <v>0.0</v>
      </c>
      <c r="H437" s="7">
        <v>0.0</v>
      </c>
      <c r="I437" s="7">
        <v>1000.0</v>
      </c>
      <c r="J437" s="7">
        <v>0.0</v>
      </c>
    </row>
    <row r="438" ht="15.75" customHeight="1">
      <c r="B438" s="7" t="s">
        <v>105</v>
      </c>
      <c r="C438" s="7" t="s">
        <v>1021</v>
      </c>
      <c r="D438" s="7">
        <v>650.0</v>
      </c>
      <c r="E438" s="7">
        <v>350.0</v>
      </c>
      <c r="F438" s="7">
        <v>300.0</v>
      </c>
      <c r="G438" s="7">
        <v>0.0</v>
      </c>
      <c r="H438" s="7">
        <v>0.0</v>
      </c>
      <c r="I438" s="7">
        <v>300.0</v>
      </c>
      <c r="J438" s="7">
        <v>50.0</v>
      </c>
    </row>
    <row r="439" ht="15.75" customHeight="1">
      <c r="B439" s="7" t="s">
        <v>1022</v>
      </c>
      <c r="C439" s="7" t="s">
        <v>1023</v>
      </c>
      <c r="D439" s="7">
        <v>250.0</v>
      </c>
      <c r="E439" s="7">
        <v>250.0</v>
      </c>
      <c r="F439" s="7">
        <v>0.0</v>
      </c>
      <c r="G439" s="7">
        <v>0.0</v>
      </c>
      <c r="H439" s="7">
        <v>0.0</v>
      </c>
      <c r="I439" s="7">
        <v>250.0</v>
      </c>
      <c r="J439" s="7">
        <v>0.0</v>
      </c>
    </row>
    <row r="440" ht="15.75" customHeight="1">
      <c r="B440" s="7" t="s">
        <v>1024</v>
      </c>
      <c r="C440" s="7" t="s">
        <v>1025</v>
      </c>
      <c r="D440" s="7">
        <v>550.0</v>
      </c>
      <c r="E440" s="7">
        <v>0.0</v>
      </c>
      <c r="F440" s="7">
        <v>550.0</v>
      </c>
      <c r="G440" s="7">
        <v>0.0</v>
      </c>
      <c r="H440" s="7">
        <v>0.0</v>
      </c>
      <c r="I440" s="7">
        <v>550.0</v>
      </c>
      <c r="J440" s="7">
        <v>0.0</v>
      </c>
    </row>
    <row r="441" ht="15.75" customHeight="1">
      <c r="B441" s="7" t="s">
        <v>1002</v>
      </c>
      <c r="C441" s="7" t="s">
        <v>1026</v>
      </c>
      <c r="D441" s="7">
        <v>50.0</v>
      </c>
      <c r="E441" s="7">
        <v>0.0</v>
      </c>
      <c r="F441" s="7">
        <v>0.0</v>
      </c>
      <c r="G441" s="7">
        <v>50.0</v>
      </c>
      <c r="H441" s="7">
        <v>0.0</v>
      </c>
      <c r="I441" s="7">
        <v>50.0</v>
      </c>
      <c r="J441" s="7">
        <v>0.0</v>
      </c>
    </row>
    <row r="442" ht="15.75" customHeight="1">
      <c r="B442" s="7" t="s">
        <v>117</v>
      </c>
      <c r="C442" s="7" t="s">
        <v>1027</v>
      </c>
      <c r="D442" s="7">
        <v>100.0</v>
      </c>
      <c r="E442" s="7">
        <v>100.0</v>
      </c>
      <c r="F442" s="7">
        <v>0.0</v>
      </c>
      <c r="G442" s="7">
        <v>0.0</v>
      </c>
      <c r="H442" s="7">
        <v>0.0</v>
      </c>
      <c r="I442" s="7">
        <v>100.0</v>
      </c>
      <c r="J442" s="7">
        <v>0.0</v>
      </c>
    </row>
    <row r="443" ht="15.75" customHeight="1">
      <c r="B443" s="7" t="s">
        <v>1028</v>
      </c>
      <c r="C443" s="7" t="s">
        <v>1029</v>
      </c>
      <c r="D443" s="7">
        <v>200.0</v>
      </c>
      <c r="E443" s="7">
        <v>200.0</v>
      </c>
      <c r="F443" s="7">
        <v>0.0</v>
      </c>
      <c r="G443" s="7">
        <v>0.0</v>
      </c>
      <c r="H443" s="7">
        <v>0.0</v>
      </c>
      <c r="I443" s="7">
        <v>200.0</v>
      </c>
      <c r="J443" s="7">
        <v>0.0</v>
      </c>
    </row>
    <row r="444" ht="15.75" customHeight="1">
      <c r="B444" s="7" t="s">
        <v>1030</v>
      </c>
      <c r="C444" s="7" t="s">
        <v>1031</v>
      </c>
      <c r="D444" s="7">
        <v>50.0</v>
      </c>
      <c r="E444" s="7">
        <v>0.0</v>
      </c>
      <c r="F444" s="7">
        <v>0.0</v>
      </c>
      <c r="G444" s="7">
        <v>50.0</v>
      </c>
      <c r="H444" s="7">
        <v>0.0</v>
      </c>
      <c r="I444" s="7">
        <v>50.0</v>
      </c>
      <c r="J444" s="7">
        <v>0.0</v>
      </c>
    </row>
    <row r="445" ht="15.75" customHeight="1">
      <c r="B445" s="7" t="s">
        <v>1032</v>
      </c>
      <c r="C445" s="7" t="s">
        <v>1033</v>
      </c>
      <c r="D445" s="7">
        <v>100.0</v>
      </c>
      <c r="E445" s="7">
        <v>100.0</v>
      </c>
      <c r="F445" s="7">
        <v>0.0</v>
      </c>
      <c r="G445" s="7">
        <v>0.0</v>
      </c>
      <c r="H445" s="7">
        <v>0.0</v>
      </c>
      <c r="I445" s="7">
        <v>0.0</v>
      </c>
      <c r="J445" s="7">
        <v>85.0</v>
      </c>
    </row>
    <row r="446" ht="15.75" customHeight="1">
      <c r="D446" s="7">
        <f t="shared" ref="D446:H446" si="69">SUM(D436:D445)</f>
        <v>3000</v>
      </c>
      <c r="E446" s="7">
        <f t="shared" si="69"/>
        <v>2000</v>
      </c>
      <c r="F446" s="7">
        <f t="shared" si="69"/>
        <v>850</v>
      </c>
      <c r="G446" s="7">
        <f t="shared" si="69"/>
        <v>150</v>
      </c>
      <c r="H446" s="7">
        <f t="shared" si="69"/>
        <v>0</v>
      </c>
      <c r="I446" s="7">
        <f>SUM(I435:I445)</f>
        <v>2550</v>
      </c>
      <c r="J446" s="7">
        <f>SUM(J436:J445)</f>
        <v>135</v>
      </c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</row>
    <row r="448" ht="15.75" customHeight="1">
      <c r="A448" s="57">
        <v>45611.0</v>
      </c>
      <c r="B448" s="7" t="s">
        <v>1034</v>
      </c>
      <c r="C448" s="7" t="s">
        <v>1035</v>
      </c>
      <c r="D448" s="7">
        <v>200.0</v>
      </c>
      <c r="E448" s="7">
        <v>0.0</v>
      </c>
      <c r="F448" s="7">
        <v>0.0</v>
      </c>
      <c r="G448" s="7">
        <v>200.0</v>
      </c>
      <c r="H448" s="7">
        <v>0.0</v>
      </c>
      <c r="I448" s="7">
        <v>0.0</v>
      </c>
      <c r="J448" s="7">
        <v>200.0</v>
      </c>
    </row>
    <row r="449" ht="15.75" customHeight="1">
      <c r="B449" s="7" t="s">
        <v>909</v>
      </c>
      <c r="C449" s="7" t="s">
        <v>1036</v>
      </c>
      <c r="D449" s="7">
        <v>50.0</v>
      </c>
      <c r="E449" s="7">
        <v>0.0</v>
      </c>
      <c r="F449" s="7">
        <v>0.0</v>
      </c>
      <c r="G449" s="7">
        <v>50.0</v>
      </c>
      <c r="H449" s="7">
        <v>0.0</v>
      </c>
      <c r="I449" s="7">
        <v>0.0</v>
      </c>
      <c r="J449" s="7">
        <v>50.0</v>
      </c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</row>
    <row r="451" ht="15.75" customHeight="1">
      <c r="A451" s="57">
        <v>45614.0</v>
      </c>
      <c r="B451" s="7" t="s">
        <v>1037</v>
      </c>
      <c r="C451" s="7" t="s">
        <v>1038</v>
      </c>
      <c r="D451" s="7">
        <v>50.0</v>
      </c>
      <c r="E451" s="7">
        <v>0.0</v>
      </c>
      <c r="F451" s="7">
        <v>0.0</v>
      </c>
      <c r="G451" s="7">
        <v>50.0</v>
      </c>
      <c r="H451" s="7">
        <v>0.0</v>
      </c>
      <c r="I451" s="7">
        <v>0.0</v>
      </c>
      <c r="J451" s="7">
        <v>50.0</v>
      </c>
    </row>
    <row r="452" ht="15.75" customHeight="1">
      <c r="B452" s="7" t="s">
        <v>96</v>
      </c>
      <c r="C452" s="7" t="s">
        <v>1039</v>
      </c>
      <c r="D452" s="7">
        <v>500.0</v>
      </c>
      <c r="E452" s="7">
        <v>500.0</v>
      </c>
      <c r="F452" s="7">
        <v>0.0</v>
      </c>
      <c r="G452" s="7">
        <v>0.0</v>
      </c>
      <c r="H452" s="7">
        <v>0.0</v>
      </c>
      <c r="I452" s="7">
        <v>500.0</v>
      </c>
      <c r="J452" s="7">
        <v>0.0</v>
      </c>
    </row>
    <row r="453" ht="15.75" customHeight="1">
      <c r="B453" s="7" t="s">
        <v>1040</v>
      </c>
      <c r="C453" s="7" t="s">
        <v>1041</v>
      </c>
      <c r="D453" s="7">
        <v>50.0</v>
      </c>
      <c r="E453" s="7">
        <v>0.0</v>
      </c>
      <c r="F453" s="7">
        <v>50.0</v>
      </c>
      <c r="G453" s="7">
        <v>0.0</v>
      </c>
      <c r="H453" s="7">
        <v>0.0</v>
      </c>
      <c r="I453" s="7">
        <v>50.0</v>
      </c>
      <c r="J453" s="7">
        <v>0.0</v>
      </c>
    </row>
    <row r="454" ht="15.75" customHeight="1">
      <c r="D454" s="7">
        <f t="shared" ref="D454:F454" si="70">SUM(D451:D453)</f>
        <v>600</v>
      </c>
      <c r="E454" s="7">
        <f t="shared" si="70"/>
        <v>500</v>
      </c>
      <c r="F454" s="7">
        <f t="shared" si="70"/>
        <v>50</v>
      </c>
      <c r="G454" s="7">
        <f>SUM(G450:G453)</f>
        <v>50</v>
      </c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</row>
    <row r="456" ht="15.75" customHeight="1">
      <c r="A456" s="57">
        <v>45615.0</v>
      </c>
      <c r="B456" s="7" t="s">
        <v>1042</v>
      </c>
      <c r="C456" s="7" t="s">
        <v>1043</v>
      </c>
      <c r="D456" s="7">
        <v>250.0</v>
      </c>
      <c r="E456" s="7">
        <v>250.0</v>
      </c>
      <c r="F456" s="7">
        <v>0.0</v>
      </c>
      <c r="G456" s="7">
        <v>0.0</v>
      </c>
      <c r="H456" s="7">
        <v>0.0</v>
      </c>
      <c r="I456" s="7">
        <v>250.0</v>
      </c>
      <c r="J456" s="7">
        <v>0.0</v>
      </c>
    </row>
    <row r="457" ht="15.75" customHeight="1">
      <c r="B457" s="7" t="s">
        <v>870</v>
      </c>
      <c r="C457" s="7" t="s">
        <v>1044</v>
      </c>
      <c r="D457" s="7">
        <v>300.0</v>
      </c>
      <c r="E457" s="7">
        <v>0.0</v>
      </c>
      <c r="F457" s="7">
        <v>300.0</v>
      </c>
      <c r="G457" s="7">
        <v>0.0</v>
      </c>
      <c r="H457" s="7">
        <v>0.0</v>
      </c>
      <c r="I457" s="7">
        <v>300.0</v>
      </c>
      <c r="J457" s="7">
        <v>0.0</v>
      </c>
    </row>
    <row r="458" ht="15.75" customHeight="1">
      <c r="B458" s="7" t="s">
        <v>1045</v>
      </c>
      <c r="C458" s="7" t="s">
        <v>1046</v>
      </c>
      <c r="D458" s="7">
        <v>350.0</v>
      </c>
      <c r="E458" s="7">
        <v>0.0</v>
      </c>
      <c r="F458" s="7">
        <v>350.0</v>
      </c>
      <c r="G458" s="7">
        <v>0.0</v>
      </c>
      <c r="H458" s="7">
        <v>0.0</v>
      </c>
      <c r="I458" s="7">
        <v>350.0</v>
      </c>
      <c r="J458" s="7">
        <v>0.0</v>
      </c>
    </row>
    <row r="459" ht="15.75" customHeight="1">
      <c r="B459" s="7" t="s">
        <v>254</v>
      </c>
      <c r="C459" s="7" t="s">
        <v>1047</v>
      </c>
      <c r="D459" s="7">
        <v>90.0</v>
      </c>
      <c r="E459" s="7">
        <v>0.0</v>
      </c>
      <c r="F459" s="7">
        <v>0.0</v>
      </c>
      <c r="G459" s="7">
        <v>90.0</v>
      </c>
      <c r="H459" s="7">
        <v>0.0</v>
      </c>
      <c r="I459" s="7">
        <v>90.0</v>
      </c>
      <c r="J459" s="7">
        <v>0.0</v>
      </c>
    </row>
    <row r="460" ht="15.75" customHeight="1">
      <c r="D460" s="7">
        <f>SUM(D456:D459)</f>
        <v>990</v>
      </c>
      <c r="E460" s="7">
        <v>0.0</v>
      </c>
      <c r="F460" s="7">
        <v>0.0</v>
      </c>
      <c r="G460" s="7">
        <v>0.0</v>
      </c>
      <c r="H460" s="7">
        <v>0.0</v>
      </c>
      <c r="I460" s="7">
        <v>0.0</v>
      </c>
      <c r="J460" s="7">
        <v>0.0</v>
      </c>
    </row>
    <row r="461" ht="15.75" customHeight="1">
      <c r="A461" s="20"/>
      <c r="B461" s="20"/>
      <c r="C461" s="20"/>
      <c r="D461" s="20"/>
      <c r="E461" s="20">
        <f t="shared" ref="E461:F461" si="71">SUM(E456:E460)</f>
        <v>250</v>
      </c>
      <c r="F461" s="20">
        <f t="shared" si="71"/>
        <v>650</v>
      </c>
      <c r="G461" s="20"/>
      <c r="H461" s="20"/>
      <c r="I461" s="20"/>
      <c r="J461" s="20"/>
    </row>
    <row r="462" ht="15.75" customHeight="1">
      <c r="A462" s="57">
        <v>45616.0</v>
      </c>
      <c r="B462" s="7" t="s">
        <v>805</v>
      </c>
      <c r="C462" s="7" t="s">
        <v>1048</v>
      </c>
      <c r="D462" s="7">
        <v>750.0</v>
      </c>
      <c r="E462" s="7">
        <v>0.0</v>
      </c>
      <c r="F462" s="7">
        <v>0.0</v>
      </c>
      <c r="G462" s="7">
        <v>750.0</v>
      </c>
      <c r="H462" s="7">
        <v>0.0</v>
      </c>
      <c r="I462" s="7">
        <v>750.0</v>
      </c>
      <c r="J462" s="7">
        <v>0.0</v>
      </c>
    </row>
    <row r="463" ht="15.75" customHeight="1">
      <c r="B463" s="7" t="s">
        <v>1049</v>
      </c>
      <c r="C463" s="7" t="s">
        <v>176</v>
      </c>
      <c r="D463" s="7">
        <v>300.0</v>
      </c>
      <c r="E463" s="7">
        <v>300.0</v>
      </c>
      <c r="F463" s="7">
        <v>0.0</v>
      </c>
      <c r="G463" s="7">
        <v>0.0</v>
      </c>
      <c r="H463" s="7">
        <v>300.0</v>
      </c>
      <c r="I463" s="7">
        <v>0.0</v>
      </c>
      <c r="J463" s="7">
        <v>0.0</v>
      </c>
    </row>
    <row r="464" ht="15.75" customHeight="1">
      <c r="B464" s="7" t="s">
        <v>66</v>
      </c>
      <c r="C464" s="7" t="s">
        <v>1050</v>
      </c>
      <c r="D464" s="7">
        <v>280.0</v>
      </c>
      <c r="E464" s="7">
        <v>0.0</v>
      </c>
      <c r="F464" s="7">
        <v>280.0</v>
      </c>
      <c r="G464" s="7">
        <v>0.0</v>
      </c>
      <c r="H464" s="7">
        <v>0.0</v>
      </c>
      <c r="I464" s="7">
        <v>280.0</v>
      </c>
      <c r="J464" s="7">
        <v>0.0</v>
      </c>
    </row>
    <row r="465" ht="15.75" customHeight="1">
      <c r="B465" s="7" t="s">
        <v>991</v>
      </c>
      <c r="C465" s="7" t="s">
        <v>1051</v>
      </c>
      <c r="D465" s="7">
        <v>20.0</v>
      </c>
      <c r="E465" s="7">
        <v>0.0</v>
      </c>
      <c r="F465" s="7">
        <v>20.0</v>
      </c>
      <c r="G465" s="7">
        <v>0.0</v>
      </c>
      <c r="H465" s="7">
        <v>0.0</v>
      </c>
      <c r="I465" s="7">
        <v>20.0</v>
      </c>
      <c r="J465" s="7">
        <v>0.0</v>
      </c>
    </row>
    <row r="466" ht="15.75" customHeight="1">
      <c r="D466" s="7">
        <f>SUM(D462:D465)</f>
        <v>1350</v>
      </c>
      <c r="E466" s="7">
        <v>300.0</v>
      </c>
      <c r="F466" s="7">
        <v>300.0</v>
      </c>
      <c r="G466" s="7">
        <v>750.0</v>
      </c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</row>
    <row r="468" ht="15.75" customHeight="1">
      <c r="A468" s="57">
        <v>45617.0</v>
      </c>
      <c r="B468" s="7" t="s">
        <v>1052</v>
      </c>
      <c r="C468" s="7" t="s">
        <v>1053</v>
      </c>
      <c r="D468" s="7">
        <v>300.0</v>
      </c>
      <c r="E468" s="7">
        <v>0.0</v>
      </c>
      <c r="F468" s="7">
        <v>300.0</v>
      </c>
      <c r="G468" s="7">
        <v>0.0</v>
      </c>
      <c r="H468" s="7">
        <v>0.0</v>
      </c>
      <c r="I468" s="7">
        <v>300.0</v>
      </c>
      <c r="J468" s="7">
        <v>0.0</v>
      </c>
    </row>
    <row r="469" ht="15.75" customHeight="1">
      <c r="B469" s="7" t="s">
        <v>994</v>
      </c>
      <c r="C469" s="7" t="s">
        <v>1054</v>
      </c>
      <c r="D469" s="7">
        <v>750.0</v>
      </c>
      <c r="E469" s="7">
        <v>0.0</v>
      </c>
      <c r="F469" s="7">
        <v>750.0</v>
      </c>
      <c r="G469" s="7">
        <v>0.0</v>
      </c>
      <c r="H469" s="7">
        <v>0.0</v>
      </c>
      <c r="I469" s="7">
        <v>750.0</v>
      </c>
      <c r="J469" s="7">
        <v>0.0</v>
      </c>
    </row>
    <row r="470" ht="15.75" customHeight="1">
      <c r="B470" s="7" t="s">
        <v>1055</v>
      </c>
      <c r="C470" s="7" t="s">
        <v>1056</v>
      </c>
      <c r="D470" s="7">
        <v>50.0</v>
      </c>
      <c r="E470" s="7">
        <v>0.0</v>
      </c>
      <c r="F470" s="7">
        <v>0.0</v>
      </c>
      <c r="G470" s="7">
        <v>50.0</v>
      </c>
      <c r="H470" s="7">
        <v>0.0</v>
      </c>
      <c r="I470" s="7">
        <v>50.0</v>
      </c>
      <c r="J470" s="7">
        <v>0.0</v>
      </c>
    </row>
    <row r="471" ht="15.75" customHeight="1">
      <c r="B471" s="7" t="s">
        <v>1057</v>
      </c>
      <c r="C471" s="7" t="s">
        <v>1058</v>
      </c>
      <c r="D471" s="7">
        <v>50.0</v>
      </c>
      <c r="E471" s="7">
        <v>0.0</v>
      </c>
      <c r="F471" s="7">
        <v>0.0</v>
      </c>
      <c r="G471" s="7">
        <v>50.0</v>
      </c>
      <c r="H471" s="7">
        <v>0.0</v>
      </c>
      <c r="I471" s="7">
        <v>50.0</v>
      </c>
      <c r="J471" s="7">
        <v>0.0</v>
      </c>
    </row>
    <row r="472" ht="15.75" customHeight="1">
      <c r="B472" s="7" t="s">
        <v>1059</v>
      </c>
      <c r="C472" s="7" t="s">
        <v>1058</v>
      </c>
      <c r="D472" s="7">
        <v>50.0</v>
      </c>
      <c r="E472" s="7">
        <v>0.0</v>
      </c>
      <c r="F472" s="7">
        <v>0.0</v>
      </c>
      <c r="G472" s="7">
        <v>50.0</v>
      </c>
      <c r="H472" s="7">
        <v>0.0</v>
      </c>
      <c r="I472" s="7">
        <v>50.0</v>
      </c>
      <c r="J472" s="7">
        <v>0.0</v>
      </c>
    </row>
    <row r="473" ht="15.75" customHeight="1">
      <c r="A473" s="20"/>
      <c r="B473" s="20"/>
      <c r="C473" s="20"/>
      <c r="D473" s="20">
        <f>SUM(D468:D472)</f>
        <v>1200</v>
      </c>
      <c r="E473" s="20"/>
      <c r="F473" s="20">
        <f>SUM(F468:F472)</f>
        <v>1050</v>
      </c>
      <c r="G473" s="20"/>
      <c r="H473" s="20"/>
      <c r="I473" s="20">
        <f>SUM(I468:I472)</f>
        <v>1200</v>
      </c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</row>
    <row r="475" ht="15.75" customHeight="1">
      <c r="A475" s="57">
        <v>45621.0</v>
      </c>
      <c r="B475" s="7" t="s">
        <v>1060</v>
      </c>
      <c r="C475" s="7" t="s">
        <v>1061</v>
      </c>
      <c r="D475" s="7">
        <v>50.0</v>
      </c>
      <c r="E475" s="7">
        <v>0.0</v>
      </c>
      <c r="F475" s="7">
        <v>0.0</v>
      </c>
      <c r="G475" s="7">
        <v>50.0</v>
      </c>
      <c r="H475" s="7">
        <v>0.0</v>
      </c>
      <c r="I475" s="7">
        <v>50.0</v>
      </c>
    </row>
    <row r="476" ht="15.75" customHeight="1">
      <c r="B476" s="7" t="s">
        <v>878</v>
      </c>
      <c r="C476" s="7" t="s">
        <v>1062</v>
      </c>
      <c r="D476" s="7">
        <v>350.0</v>
      </c>
      <c r="E476" s="7">
        <v>0.0</v>
      </c>
      <c r="F476" s="7">
        <v>350.0</v>
      </c>
      <c r="G476" s="7">
        <v>0.0</v>
      </c>
      <c r="H476" s="7">
        <v>0.0</v>
      </c>
      <c r="I476" s="7">
        <v>350.0</v>
      </c>
    </row>
    <row r="477" ht="15.75" customHeight="1">
      <c r="B477" s="7" t="s">
        <v>1063</v>
      </c>
      <c r="C477" s="7" t="s">
        <v>1064</v>
      </c>
      <c r="D477" s="7">
        <v>50.0</v>
      </c>
      <c r="E477" s="7">
        <v>0.0</v>
      </c>
      <c r="F477" s="7">
        <v>0.0</v>
      </c>
      <c r="G477" s="7">
        <v>50.0</v>
      </c>
      <c r="H477" s="7">
        <v>0.0</v>
      </c>
      <c r="I477" s="7">
        <v>50.0</v>
      </c>
    </row>
    <row r="478" ht="15.75" customHeight="1">
      <c r="B478" s="7" t="s">
        <v>1065</v>
      </c>
      <c r="C478" s="7" t="s">
        <v>1066</v>
      </c>
      <c r="D478" s="7">
        <v>400.0</v>
      </c>
      <c r="E478" s="7">
        <v>0.0</v>
      </c>
      <c r="F478" s="7">
        <v>400.0</v>
      </c>
      <c r="G478" s="7">
        <v>0.0</v>
      </c>
      <c r="H478" s="7">
        <v>0.0</v>
      </c>
      <c r="I478" s="7">
        <v>400.0</v>
      </c>
    </row>
    <row r="479" ht="15.75" customHeight="1">
      <c r="B479" s="7" t="s">
        <v>1067</v>
      </c>
      <c r="C479" s="7" t="s">
        <v>1068</v>
      </c>
      <c r="D479" s="7">
        <v>150.0</v>
      </c>
      <c r="E479" s="7">
        <v>150.0</v>
      </c>
      <c r="F479" s="7">
        <v>0.0</v>
      </c>
      <c r="G479" s="7">
        <v>0.0</v>
      </c>
      <c r="H479" s="7">
        <v>150.0</v>
      </c>
    </row>
    <row r="480" ht="15.75" customHeight="1">
      <c r="B480" s="7" t="s">
        <v>1069</v>
      </c>
      <c r="C480" s="7"/>
      <c r="D480" s="7">
        <v>200.0</v>
      </c>
      <c r="E480" s="7">
        <v>200.0</v>
      </c>
      <c r="F480" s="7">
        <v>0.0</v>
      </c>
      <c r="G480" s="7"/>
      <c r="H480" s="7"/>
    </row>
    <row r="481" ht="15.75" customHeight="1">
      <c r="D481" s="7">
        <f t="shared" ref="D481:F481" si="72">SUM(D475:D480)</f>
        <v>1200</v>
      </c>
      <c r="E481" s="7">
        <f t="shared" si="72"/>
        <v>350</v>
      </c>
      <c r="F481" s="7">
        <f t="shared" si="72"/>
        <v>750</v>
      </c>
      <c r="G481" s="7">
        <f t="shared" ref="G481:H481" si="73">SUM(G475:G479)</f>
        <v>100</v>
      </c>
      <c r="H481" s="7">
        <f t="shared" si="73"/>
        <v>150</v>
      </c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</row>
    <row r="483" ht="15.75" customHeight="1">
      <c r="A483" s="57">
        <v>45622.0</v>
      </c>
      <c r="B483" s="7" t="s">
        <v>1034</v>
      </c>
      <c r="C483" s="7" t="s">
        <v>1070</v>
      </c>
      <c r="D483" s="7">
        <v>100.0</v>
      </c>
      <c r="E483" s="7">
        <v>100.0</v>
      </c>
      <c r="F483" s="7">
        <v>0.0</v>
      </c>
      <c r="G483" s="7">
        <v>0.0</v>
      </c>
      <c r="H483" s="7">
        <v>0.0</v>
      </c>
      <c r="I483" s="7">
        <v>100.0</v>
      </c>
    </row>
    <row r="484" ht="15.75" customHeight="1">
      <c r="B484" s="7" t="s">
        <v>1071</v>
      </c>
      <c r="C484" s="7" t="s">
        <v>1072</v>
      </c>
      <c r="D484" s="7">
        <v>750.0</v>
      </c>
      <c r="E484" s="7">
        <v>0.0</v>
      </c>
      <c r="F484" s="7">
        <v>750.0</v>
      </c>
      <c r="G484" s="7">
        <v>0.0</v>
      </c>
      <c r="H484" s="7">
        <v>0.0</v>
      </c>
      <c r="I484" s="7">
        <v>750.0</v>
      </c>
    </row>
    <row r="485" ht="15.75" customHeight="1">
      <c r="B485" s="7" t="s">
        <v>504</v>
      </c>
      <c r="C485" s="7" t="s">
        <v>1073</v>
      </c>
      <c r="D485" s="7">
        <v>200.0</v>
      </c>
      <c r="E485" s="7">
        <v>200.0</v>
      </c>
      <c r="F485" s="7">
        <v>0.0</v>
      </c>
      <c r="G485" s="7">
        <v>0.0</v>
      </c>
      <c r="H485" s="7">
        <v>0.0</v>
      </c>
      <c r="I485" s="7">
        <v>200.0</v>
      </c>
    </row>
    <row r="486" ht="15.75" customHeight="1">
      <c r="D486" s="7">
        <f t="shared" ref="D486:F486" si="74">SUM(D483:D485)</f>
        <v>1050</v>
      </c>
      <c r="E486" s="7">
        <f t="shared" si="74"/>
        <v>300</v>
      </c>
      <c r="F486" s="7">
        <f t="shared" si="74"/>
        <v>750</v>
      </c>
      <c r="G486" s="7">
        <v>0.0</v>
      </c>
      <c r="H486" s="7">
        <v>0.0</v>
      </c>
      <c r="I486" s="7">
        <f>SUM(I483:I485)</f>
        <v>1050</v>
      </c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</row>
    <row r="488" ht="15.75" customHeight="1">
      <c r="A488" s="57">
        <v>45623.0</v>
      </c>
      <c r="B488" s="7" t="s">
        <v>805</v>
      </c>
      <c r="C488" s="7" t="s">
        <v>1074</v>
      </c>
      <c r="D488" s="7">
        <v>885.0</v>
      </c>
      <c r="E488" s="7">
        <v>0.0</v>
      </c>
      <c r="F488" s="7">
        <v>185.0</v>
      </c>
      <c r="G488" s="7">
        <v>750.0</v>
      </c>
      <c r="H488" s="7">
        <v>750.0</v>
      </c>
      <c r="I488" s="7">
        <v>135.0</v>
      </c>
    </row>
    <row r="489" ht="15.75" customHeight="1">
      <c r="B489" s="7" t="s">
        <v>909</v>
      </c>
      <c r="C489" s="7" t="s">
        <v>1075</v>
      </c>
      <c r="D489" s="7">
        <v>300.0</v>
      </c>
      <c r="E489" s="7">
        <v>0.0</v>
      </c>
      <c r="F489" s="7">
        <v>300.0</v>
      </c>
      <c r="G489" s="7">
        <v>0.0</v>
      </c>
      <c r="H489" s="7">
        <v>0.0</v>
      </c>
      <c r="I489" s="7">
        <v>0.0</v>
      </c>
    </row>
    <row r="490" ht="15.75" customHeight="1">
      <c r="B490" s="7" t="s">
        <v>1076</v>
      </c>
      <c r="C490" s="7" t="s">
        <v>294</v>
      </c>
      <c r="D490" s="7">
        <v>300.0</v>
      </c>
      <c r="E490" s="7">
        <v>300.0</v>
      </c>
      <c r="F490" s="7">
        <v>0.0</v>
      </c>
      <c r="G490" s="7">
        <v>0.0</v>
      </c>
      <c r="H490" s="7">
        <v>0.0</v>
      </c>
      <c r="I490" s="7">
        <v>0.0</v>
      </c>
    </row>
    <row r="491" ht="15.75" customHeight="1">
      <c r="D491" s="7">
        <f t="shared" ref="D491:I491" si="75">SUM(D488:D490)</f>
        <v>1485</v>
      </c>
      <c r="E491" s="7">
        <f t="shared" si="75"/>
        <v>300</v>
      </c>
      <c r="F491" s="7">
        <f t="shared" si="75"/>
        <v>485</v>
      </c>
      <c r="G491" s="7">
        <f t="shared" si="75"/>
        <v>750</v>
      </c>
      <c r="H491" s="7">
        <f t="shared" si="75"/>
        <v>750</v>
      </c>
      <c r="I491" s="7">
        <f t="shared" si="75"/>
        <v>135</v>
      </c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2"/>
    </row>
    <row r="493" ht="15.75" customHeight="1">
      <c r="A493" s="57">
        <v>45624.0</v>
      </c>
      <c r="B493" s="7" t="s">
        <v>1077</v>
      </c>
      <c r="C493" s="7" t="s">
        <v>1078</v>
      </c>
      <c r="D493" s="7">
        <v>500.0</v>
      </c>
      <c r="E493" s="7">
        <v>0.0</v>
      </c>
      <c r="F493" s="7">
        <v>500.0</v>
      </c>
      <c r="G493" s="7">
        <v>0.0</v>
      </c>
      <c r="H493" s="7">
        <v>500.0</v>
      </c>
      <c r="I493" s="7">
        <v>0.0</v>
      </c>
    </row>
    <row r="494" ht="15.75" customHeight="1">
      <c r="B494" s="7" t="s">
        <v>1055</v>
      </c>
      <c r="C494" s="7" t="s">
        <v>1079</v>
      </c>
      <c r="D494" s="7">
        <v>300.0</v>
      </c>
      <c r="E494" s="7">
        <v>0.0</v>
      </c>
      <c r="F494" s="7">
        <v>300.0</v>
      </c>
      <c r="G494" s="7">
        <v>0.0</v>
      </c>
      <c r="H494" s="7">
        <v>300.0</v>
      </c>
      <c r="I494" s="7">
        <v>0.0</v>
      </c>
    </row>
    <row r="495" ht="15.75" customHeight="1">
      <c r="B495" s="7" t="s">
        <v>1080</v>
      </c>
      <c r="C495" s="7" t="s">
        <v>1081</v>
      </c>
      <c r="D495" s="7">
        <v>250.0</v>
      </c>
      <c r="E495" s="7">
        <v>0.0</v>
      </c>
      <c r="F495" s="7">
        <v>250.0</v>
      </c>
      <c r="G495" s="7">
        <v>0.0</v>
      </c>
      <c r="H495" s="7">
        <v>250.0</v>
      </c>
      <c r="I495" s="7">
        <v>0.0</v>
      </c>
    </row>
    <row r="496" ht="15.75" customHeight="1">
      <c r="B496" s="7" t="s">
        <v>958</v>
      </c>
      <c r="C496" s="7" t="s">
        <v>1082</v>
      </c>
      <c r="D496" s="7">
        <v>250.0</v>
      </c>
      <c r="E496" s="7">
        <f>SUM(E493:E495)</f>
        <v>0</v>
      </c>
      <c r="F496" s="7">
        <v>250.0</v>
      </c>
      <c r="G496" s="7">
        <f>SUM(G493:G495)</f>
        <v>0</v>
      </c>
      <c r="H496" s="7">
        <v>250.0</v>
      </c>
      <c r="I496" s="7">
        <v>0.0</v>
      </c>
    </row>
    <row r="497" ht="15.75" customHeight="1">
      <c r="D497" s="7">
        <f>SUM(D493:D496)</f>
        <v>1300</v>
      </c>
      <c r="E497" s="7">
        <v>0.0</v>
      </c>
      <c r="F497" s="7">
        <f>SUM(F493:F496)</f>
        <v>1300</v>
      </c>
      <c r="G497" s="7">
        <v>0.0</v>
      </c>
      <c r="H497" s="7">
        <f>SUM(H492:H496)</f>
        <v>1300</v>
      </c>
      <c r="I497" s="7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K498" s="73"/>
    </row>
    <row r="499" ht="15.75" customHeight="1">
      <c r="A499" s="57">
        <v>45625.0</v>
      </c>
      <c r="B499" s="7" t="s">
        <v>964</v>
      </c>
      <c r="C499" s="7" t="s">
        <v>1083</v>
      </c>
      <c r="D499" s="7">
        <v>100.0</v>
      </c>
      <c r="E499" s="7">
        <v>50.0</v>
      </c>
      <c r="F499" s="7">
        <v>50.0</v>
      </c>
      <c r="G499" s="7">
        <v>0.0</v>
      </c>
      <c r="H499" s="7">
        <v>100.0</v>
      </c>
      <c r="I499" s="7">
        <v>0.0</v>
      </c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</row>
    <row r="501" ht="15.75" customHeight="1">
      <c r="A501" s="25">
        <v>45628.0</v>
      </c>
      <c r="B501" s="7" t="s">
        <v>1084</v>
      </c>
      <c r="C501" s="7" t="s">
        <v>1085</v>
      </c>
      <c r="D501" s="7">
        <v>105.0</v>
      </c>
      <c r="E501" s="7">
        <v>0.0</v>
      </c>
      <c r="F501" s="7">
        <v>105.0</v>
      </c>
      <c r="G501" s="7">
        <v>0.0</v>
      </c>
      <c r="H501" s="7">
        <v>105.0</v>
      </c>
      <c r="I501" s="7">
        <v>0.0</v>
      </c>
    </row>
    <row r="502" ht="15.75" customHeight="1">
      <c r="B502" s="7" t="s">
        <v>1086</v>
      </c>
      <c r="C502" s="7" t="s">
        <v>1087</v>
      </c>
      <c r="D502" s="7">
        <v>400.0</v>
      </c>
      <c r="E502" s="7">
        <v>400.0</v>
      </c>
      <c r="F502" s="7">
        <v>0.0</v>
      </c>
      <c r="G502" s="7">
        <v>0.0</v>
      </c>
      <c r="H502" s="7">
        <v>400.0</v>
      </c>
      <c r="I502" s="7">
        <v>0.0</v>
      </c>
    </row>
    <row r="503" ht="15.75" customHeight="1">
      <c r="A503" s="20"/>
      <c r="B503" s="20"/>
      <c r="C503" s="20"/>
      <c r="D503" s="20">
        <v>505.0</v>
      </c>
      <c r="E503" s="20"/>
      <c r="F503" s="20"/>
      <c r="G503" s="20"/>
      <c r="H503" s="20"/>
      <c r="I503" s="20"/>
      <c r="K503" s="28" t="s">
        <v>51</v>
      </c>
    </row>
    <row r="504" ht="15.75" customHeight="1">
      <c r="A504" s="25">
        <v>45629.0</v>
      </c>
      <c r="B504" s="7" t="s">
        <v>985</v>
      </c>
      <c r="C504" s="7" t="s">
        <v>1088</v>
      </c>
      <c r="D504" s="7">
        <v>500.0</v>
      </c>
      <c r="E504" s="7">
        <v>400.0</v>
      </c>
      <c r="F504" s="7">
        <v>100.0</v>
      </c>
      <c r="G504" s="7">
        <v>0.0</v>
      </c>
      <c r="H504" s="7">
        <v>500.0</v>
      </c>
      <c r="I504" s="7">
        <v>0.0</v>
      </c>
    </row>
    <row r="505" ht="15.75" customHeight="1">
      <c r="B505" s="7" t="s">
        <v>900</v>
      </c>
      <c r="C505" s="7" t="s">
        <v>1089</v>
      </c>
      <c r="D505" s="7">
        <v>120.0</v>
      </c>
      <c r="E505" s="7">
        <v>0.0</v>
      </c>
      <c r="F505" s="7">
        <v>120.0</v>
      </c>
      <c r="G505" s="7">
        <v>0.0</v>
      </c>
      <c r="H505" s="7">
        <v>0.0</v>
      </c>
      <c r="I505" s="7">
        <v>120.0</v>
      </c>
      <c r="K505" s="7" t="s">
        <v>13</v>
      </c>
      <c r="L505" s="7" t="s">
        <v>10</v>
      </c>
      <c r="M505" s="7" t="s">
        <v>11</v>
      </c>
      <c r="N505" s="7" t="s">
        <v>14</v>
      </c>
    </row>
    <row r="506" ht="15.75" customHeight="1">
      <c r="D506" s="7">
        <f t="shared" ref="D506:F506" si="76">SUM(D504:D505)</f>
        <v>620</v>
      </c>
      <c r="E506" s="7">
        <f t="shared" si="76"/>
        <v>400</v>
      </c>
      <c r="F506" s="7">
        <f t="shared" si="76"/>
        <v>220</v>
      </c>
      <c r="H506" s="7">
        <f t="shared" ref="H506:I506" si="77">SUM(H504:H505)</f>
        <v>500</v>
      </c>
      <c r="I506" s="7">
        <f t="shared" si="77"/>
        <v>120</v>
      </c>
      <c r="K506" s="7">
        <v>505.0</v>
      </c>
      <c r="L506" s="7">
        <v>400.0</v>
      </c>
      <c r="M506" s="7">
        <v>105.0</v>
      </c>
      <c r="N506" s="7">
        <v>0.0</v>
      </c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K507" s="7">
        <v>620.0</v>
      </c>
      <c r="L507" s="7">
        <v>400.0</v>
      </c>
      <c r="M507" s="7">
        <v>220.0</v>
      </c>
      <c r="N507" s="7">
        <v>0.0</v>
      </c>
    </row>
    <row r="508" ht="15.75" customHeight="1">
      <c r="A508" s="25">
        <v>45630.0</v>
      </c>
      <c r="B508" s="7" t="s">
        <v>1090</v>
      </c>
      <c r="C508" s="7" t="s">
        <v>1091</v>
      </c>
      <c r="D508" s="7">
        <v>300.0</v>
      </c>
      <c r="E508" s="7">
        <v>0.0</v>
      </c>
      <c r="F508" s="7">
        <v>300.0</v>
      </c>
      <c r="G508" s="7">
        <v>0.0</v>
      </c>
      <c r="H508" s="7">
        <v>300.0</v>
      </c>
      <c r="I508" s="7">
        <v>0.0</v>
      </c>
      <c r="K508" s="7">
        <v>2150.0</v>
      </c>
      <c r="L508" s="7">
        <v>950.0</v>
      </c>
      <c r="M508" s="7">
        <v>1200.0</v>
      </c>
      <c r="N508" s="7">
        <v>0.0</v>
      </c>
    </row>
    <row r="509" ht="15.75" customHeight="1">
      <c r="B509" s="7" t="s">
        <v>1092</v>
      </c>
      <c r="C509" s="7" t="s">
        <v>121</v>
      </c>
      <c r="D509" s="7">
        <v>300.0</v>
      </c>
      <c r="E509" s="7">
        <v>0.0</v>
      </c>
      <c r="F509" s="7">
        <v>300.0</v>
      </c>
      <c r="G509" s="7">
        <v>0.0</v>
      </c>
      <c r="H509" s="7">
        <v>300.0</v>
      </c>
      <c r="I509" s="7">
        <v>0.0</v>
      </c>
      <c r="K509" s="7">
        <v>3330.0</v>
      </c>
      <c r="L509" s="7">
        <v>2180.0</v>
      </c>
      <c r="M509" s="7">
        <v>1150.0</v>
      </c>
      <c r="N509" s="7">
        <v>0.0</v>
      </c>
    </row>
    <row r="510" ht="15.75" customHeight="1">
      <c r="B510" s="7" t="s">
        <v>1093</v>
      </c>
      <c r="C510" s="7" t="s">
        <v>1094</v>
      </c>
      <c r="D510" s="7">
        <v>300.0</v>
      </c>
      <c r="E510" s="7">
        <v>300.0</v>
      </c>
      <c r="F510" s="7">
        <v>0.0</v>
      </c>
      <c r="G510" s="7">
        <v>0.0</v>
      </c>
      <c r="H510" s="7">
        <v>300.0</v>
      </c>
      <c r="I510" s="7">
        <v>0.0</v>
      </c>
      <c r="K510" s="7">
        <v>2750.0</v>
      </c>
      <c r="L510" s="7">
        <v>550.0</v>
      </c>
      <c r="M510" s="7">
        <v>1200.0</v>
      </c>
      <c r="N510" s="7">
        <v>1000.0</v>
      </c>
    </row>
    <row r="511" ht="15.75" customHeight="1">
      <c r="B511" s="7" t="s">
        <v>235</v>
      </c>
      <c r="C511" s="7" t="s">
        <v>1095</v>
      </c>
      <c r="D511" s="7">
        <v>250.0</v>
      </c>
      <c r="E511" s="7">
        <v>250.0</v>
      </c>
      <c r="F511" s="7">
        <v>0.0</v>
      </c>
      <c r="G511" s="7">
        <v>0.0</v>
      </c>
      <c r="H511" s="7">
        <v>250.0</v>
      </c>
      <c r="I511" s="7">
        <v>0.0</v>
      </c>
      <c r="K511" s="7">
        <v>1030.0</v>
      </c>
      <c r="L511" s="7">
        <v>730.0</v>
      </c>
      <c r="M511" s="7">
        <v>300.0</v>
      </c>
      <c r="N511" s="7">
        <v>0.0</v>
      </c>
    </row>
    <row r="512" ht="15.75" customHeight="1">
      <c r="B512" s="7" t="s">
        <v>1096</v>
      </c>
      <c r="C512" s="7" t="s">
        <v>1097</v>
      </c>
      <c r="D512" s="7">
        <v>350.0</v>
      </c>
      <c r="E512" s="7">
        <v>350.0</v>
      </c>
      <c r="F512" s="7">
        <v>0.0</v>
      </c>
      <c r="G512" s="7">
        <v>0.0</v>
      </c>
      <c r="H512" s="7">
        <v>350.0</v>
      </c>
      <c r="I512" s="7">
        <v>0.0</v>
      </c>
      <c r="K512" s="7">
        <v>1530.0</v>
      </c>
      <c r="L512" s="7">
        <v>480.0</v>
      </c>
      <c r="M512" s="7">
        <v>1050.0</v>
      </c>
      <c r="N512" s="7">
        <v>0.0</v>
      </c>
    </row>
    <row r="513" ht="15.75" customHeight="1">
      <c r="B513" s="7" t="s">
        <v>109</v>
      </c>
      <c r="C513" s="7" t="s">
        <v>327</v>
      </c>
      <c r="D513" s="7">
        <v>300.0</v>
      </c>
      <c r="E513" s="7">
        <v>0.0</v>
      </c>
      <c r="F513" s="7">
        <v>300.0</v>
      </c>
      <c r="G513" s="7">
        <v>0.0</v>
      </c>
      <c r="H513" s="7">
        <v>300.0</v>
      </c>
      <c r="I513" s="7">
        <v>0.0</v>
      </c>
      <c r="K513" s="7">
        <v>2000.0</v>
      </c>
      <c r="L513" s="7">
        <v>1050.0</v>
      </c>
      <c r="M513" s="7">
        <v>50.0</v>
      </c>
      <c r="N513" s="7">
        <v>900.0</v>
      </c>
    </row>
    <row r="514" ht="15.75" customHeight="1">
      <c r="B514" s="7" t="s">
        <v>487</v>
      </c>
      <c r="C514" s="7" t="s">
        <v>1098</v>
      </c>
      <c r="D514" s="7">
        <v>300.0</v>
      </c>
      <c r="E514" s="7">
        <v>0.0</v>
      </c>
      <c r="F514" s="7">
        <v>300.0</v>
      </c>
      <c r="G514" s="7">
        <v>0.0</v>
      </c>
      <c r="H514" s="7">
        <v>300.0</v>
      </c>
      <c r="I514" s="7">
        <v>0.0</v>
      </c>
      <c r="K514" s="7">
        <v>680.0</v>
      </c>
      <c r="L514" s="7">
        <v>80.0</v>
      </c>
      <c r="M514" s="7">
        <v>600.0</v>
      </c>
      <c r="N514" s="7">
        <v>0.0</v>
      </c>
    </row>
    <row r="515" ht="15.75" customHeight="1">
      <c r="B515" s="7" t="s">
        <v>1099</v>
      </c>
      <c r="C515" s="7" t="s">
        <v>1100</v>
      </c>
      <c r="D515" s="7">
        <v>50.0</v>
      </c>
      <c r="E515" s="7">
        <v>50.0</v>
      </c>
      <c r="F515" s="7">
        <v>0.0</v>
      </c>
      <c r="G515" s="7">
        <v>0.0</v>
      </c>
      <c r="H515" s="7">
        <v>50.0</v>
      </c>
      <c r="I515" s="7">
        <v>0.0</v>
      </c>
      <c r="K515" s="7">
        <v>1640.0</v>
      </c>
      <c r="L515" s="7">
        <v>0.0</v>
      </c>
      <c r="M515" s="7">
        <v>1640.0</v>
      </c>
      <c r="N515" s="7">
        <v>0.0</v>
      </c>
    </row>
    <row r="516" ht="15.75" customHeight="1">
      <c r="D516" s="7">
        <f t="shared" ref="D516:F516" si="78">SUM(D508:D515)</f>
        <v>2150</v>
      </c>
      <c r="E516" s="7">
        <f t="shared" si="78"/>
        <v>950</v>
      </c>
      <c r="F516" s="7">
        <f t="shared" si="78"/>
        <v>1200</v>
      </c>
      <c r="H516" s="7">
        <f>SUM(H508:H515)</f>
        <v>2150</v>
      </c>
      <c r="K516" s="7">
        <v>2080.0</v>
      </c>
      <c r="L516" s="7">
        <v>1770.0</v>
      </c>
      <c r="M516" s="7">
        <v>310.0</v>
      </c>
      <c r="N516" s="7">
        <v>0.0</v>
      </c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K517" s="7">
        <v>2885.0</v>
      </c>
      <c r="L517" s="7">
        <v>2775.0</v>
      </c>
      <c r="M517" s="7">
        <v>0.0</v>
      </c>
      <c r="N517" s="7">
        <v>100.0</v>
      </c>
    </row>
    <row r="518" ht="15.75" customHeight="1">
      <c r="A518" s="25">
        <v>45631.0</v>
      </c>
      <c r="B518" s="7" t="s">
        <v>1101</v>
      </c>
      <c r="C518" s="7" t="s">
        <v>1102</v>
      </c>
      <c r="D518" s="7">
        <v>600.0</v>
      </c>
      <c r="E518" s="7">
        <v>600.0</v>
      </c>
      <c r="F518" s="7">
        <v>0.0</v>
      </c>
      <c r="G518" s="7">
        <v>0.0</v>
      </c>
      <c r="H518" s="7">
        <v>600.0</v>
      </c>
      <c r="I518" s="7">
        <v>0.0</v>
      </c>
      <c r="K518" s="7">
        <v>1880.0</v>
      </c>
      <c r="L518" s="7">
        <v>990.0</v>
      </c>
      <c r="M518" s="7">
        <v>140.0</v>
      </c>
      <c r="N518" s="7">
        <v>750.0</v>
      </c>
    </row>
    <row r="519" ht="15.75" customHeight="1">
      <c r="B519" s="7" t="s">
        <v>1103</v>
      </c>
      <c r="C519" s="7" t="s">
        <v>1104</v>
      </c>
      <c r="D519" s="7">
        <v>280.0</v>
      </c>
      <c r="E519" s="7">
        <v>280.0</v>
      </c>
      <c r="F519" s="7">
        <v>0.0</v>
      </c>
      <c r="G519" s="7">
        <v>0.0</v>
      </c>
      <c r="H519" s="7">
        <v>280.0</v>
      </c>
      <c r="I519" s="7">
        <v>0.0</v>
      </c>
      <c r="K519" s="7">
        <v>280.0</v>
      </c>
      <c r="L519" s="7">
        <v>0.0</v>
      </c>
      <c r="M519" s="7">
        <v>0.0</v>
      </c>
      <c r="N519" s="7">
        <v>280.0</v>
      </c>
    </row>
    <row r="520" ht="15.75" customHeight="1">
      <c r="B520" s="7" t="s">
        <v>985</v>
      </c>
      <c r="C520" s="7" t="s">
        <v>1105</v>
      </c>
      <c r="D520" s="7">
        <v>200.0</v>
      </c>
      <c r="E520" s="7">
        <v>200.0</v>
      </c>
      <c r="F520" s="7">
        <v>0.0</v>
      </c>
      <c r="G520" s="7">
        <v>0.0</v>
      </c>
      <c r="H520" s="7">
        <v>200.0</v>
      </c>
      <c r="I520" s="7">
        <v>0.0</v>
      </c>
      <c r="K520" s="7">
        <f t="shared" ref="K520:N520" si="79">SUM(K506:K519)</f>
        <v>23360</v>
      </c>
      <c r="L520" s="7">
        <f t="shared" si="79"/>
        <v>12355</v>
      </c>
      <c r="M520" s="7">
        <f t="shared" si="79"/>
        <v>7965</v>
      </c>
      <c r="N520" s="7">
        <f t="shared" si="79"/>
        <v>3030</v>
      </c>
    </row>
    <row r="521" ht="15.75" customHeight="1">
      <c r="B521" s="7" t="s">
        <v>1106</v>
      </c>
      <c r="C521" s="7" t="s">
        <v>1107</v>
      </c>
      <c r="D521" s="7">
        <v>300.0</v>
      </c>
      <c r="E521" s="7">
        <v>0.0</v>
      </c>
      <c r="F521" s="7">
        <v>300.0</v>
      </c>
      <c r="G521" s="7">
        <v>0.0</v>
      </c>
      <c r="H521" s="7">
        <v>300.0</v>
      </c>
      <c r="I521" s="7">
        <v>0.0</v>
      </c>
    </row>
    <row r="522" ht="15.75" customHeight="1">
      <c r="B522" s="7" t="s">
        <v>1108</v>
      </c>
      <c r="C522" s="7" t="s">
        <v>1109</v>
      </c>
      <c r="D522" s="7">
        <v>550.0</v>
      </c>
      <c r="E522" s="7">
        <v>0.0</v>
      </c>
      <c r="F522" s="7">
        <v>550.0</v>
      </c>
      <c r="G522" s="7">
        <v>0.0</v>
      </c>
      <c r="H522" s="7">
        <v>500.0</v>
      </c>
      <c r="I522" s="7">
        <v>50.0</v>
      </c>
    </row>
    <row r="523" ht="15.75" customHeight="1">
      <c r="B523" s="7" t="s">
        <v>196</v>
      </c>
      <c r="C523" s="7" t="s">
        <v>1110</v>
      </c>
      <c r="D523" s="7">
        <v>300.0</v>
      </c>
      <c r="E523" s="7">
        <v>0.0</v>
      </c>
      <c r="F523" s="7">
        <v>300.0</v>
      </c>
      <c r="G523" s="7">
        <v>0.0</v>
      </c>
      <c r="H523" s="7">
        <v>300.0</v>
      </c>
      <c r="I523" s="7">
        <v>0.0</v>
      </c>
    </row>
    <row r="524" ht="15.75" customHeight="1">
      <c r="B524" s="7" t="s">
        <v>1111</v>
      </c>
      <c r="C524" s="7" t="s">
        <v>1112</v>
      </c>
      <c r="D524" s="7">
        <v>1100.0</v>
      </c>
      <c r="E524" s="7">
        <v>1100.0</v>
      </c>
      <c r="F524" s="7">
        <v>0.0</v>
      </c>
      <c r="G524" s="7">
        <v>0.0</v>
      </c>
      <c r="H524" s="7">
        <v>1100.0</v>
      </c>
      <c r="I524" s="7">
        <v>0.0</v>
      </c>
    </row>
    <row r="525" ht="15.75" customHeight="1">
      <c r="D525" s="7">
        <f t="shared" ref="D525:E525" si="80">SUM(D518:D524)</f>
        <v>3330</v>
      </c>
      <c r="E525" s="7">
        <f t="shared" si="80"/>
        <v>2180</v>
      </c>
      <c r="F525" s="7">
        <v>1150.0</v>
      </c>
      <c r="G525" s="7">
        <v>0.0</v>
      </c>
      <c r="H525" s="7">
        <f t="shared" ref="H525:I525" si="81">SUM(H518:H524)</f>
        <v>3280</v>
      </c>
      <c r="I525" s="7">
        <f t="shared" si="81"/>
        <v>50</v>
      </c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</row>
    <row r="527" ht="15.75" customHeight="1">
      <c r="A527" s="74">
        <v>45636.0</v>
      </c>
      <c r="B527" s="7" t="s">
        <v>614</v>
      </c>
      <c r="C527" s="7" t="s">
        <v>1113</v>
      </c>
      <c r="D527" s="7">
        <v>1000.0</v>
      </c>
      <c r="E527" s="7">
        <v>0.0</v>
      </c>
      <c r="F527" s="7">
        <v>0.0</v>
      </c>
      <c r="G527" s="7">
        <v>1000.0</v>
      </c>
      <c r="H527" s="7">
        <v>0.0</v>
      </c>
      <c r="I527" s="7">
        <v>0.0</v>
      </c>
    </row>
    <row r="528" ht="15.75" customHeight="1">
      <c r="A528" s="74"/>
      <c r="B528" s="7" t="s">
        <v>229</v>
      </c>
      <c r="C528" s="7" t="s">
        <v>1114</v>
      </c>
      <c r="D528" s="7">
        <v>150.0</v>
      </c>
      <c r="E528" s="7">
        <v>0.0</v>
      </c>
      <c r="F528" s="7">
        <v>150.0</v>
      </c>
      <c r="G528" s="7">
        <v>0.0</v>
      </c>
      <c r="H528" s="7">
        <v>150.0</v>
      </c>
      <c r="I528" s="7">
        <v>0.0</v>
      </c>
    </row>
    <row r="529" ht="15.75" customHeight="1">
      <c r="B529" s="7" t="s">
        <v>1115</v>
      </c>
      <c r="C529" s="7" t="s">
        <v>327</v>
      </c>
      <c r="D529" s="7">
        <v>250.0</v>
      </c>
      <c r="E529" s="7">
        <v>250.0</v>
      </c>
      <c r="F529" s="7">
        <v>0.0</v>
      </c>
      <c r="G529" s="7">
        <v>0.0</v>
      </c>
      <c r="H529" s="7">
        <v>250.0</v>
      </c>
      <c r="I529" s="7">
        <v>0.0</v>
      </c>
    </row>
    <row r="530" ht="15.75" customHeight="1">
      <c r="B530" s="7" t="s">
        <v>1116</v>
      </c>
      <c r="C530" s="7" t="s">
        <v>1117</v>
      </c>
      <c r="D530" s="7">
        <v>250.0</v>
      </c>
      <c r="E530" s="7">
        <v>0.0</v>
      </c>
      <c r="F530" s="7">
        <v>250.0</v>
      </c>
      <c r="G530" s="7">
        <v>0.0</v>
      </c>
      <c r="H530" s="7">
        <v>250.0</v>
      </c>
      <c r="I530" s="7">
        <v>0.0</v>
      </c>
    </row>
    <row r="531" ht="15.75" customHeight="1">
      <c r="B531" s="7" t="s">
        <v>1118</v>
      </c>
      <c r="C531" s="7" t="s">
        <v>559</v>
      </c>
      <c r="D531" s="7">
        <v>300.0</v>
      </c>
      <c r="E531" s="7">
        <v>0.0</v>
      </c>
      <c r="F531" s="7">
        <v>300.0</v>
      </c>
      <c r="G531" s="7">
        <v>0.0</v>
      </c>
      <c r="H531" s="7">
        <v>300.0</v>
      </c>
      <c r="I531" s="7">
        <v>0.0</v>
      </c>
    </row>
    <row r="532" ht="15.75" customHeight="1">
      <c r="B532" s="7" t="s">
        <v>1057</v>
      </c>
      <c r="C532" s="7" t="s">
        <v>1119</v>
      </c>
      <c r="D532" s="7">
        <v>250.0</v>
      </c>
      <c r="E532" s="7">
        <v>0.0</v>
      </c>
      <c r="F532" s="7">
        <v>250.0</v>
      </c>
      <c r="G532" s="7">
        <v>0.0</v>
      </c>
      <c r="H532" s="7">
        <v>250.0</v>
      </c>
      <c r="I532" s="7">
        <v>0.0</v>
      </c>
    </row>
    <row r="533" ht="15.75" customHeight="1">
      <c r="B533" s="7" t="s">
        <v>1059</v>
      </c>
      <c r="C533" s="7" t="s">
        <v>1120</v>
      </c>
      <c r="D533" s="7">
        <v>250.0</v>
      </c>
      <c r="E533" s="7">
        <v>0.0</v>
      </c>
      <c r="F533" s="7">
        <v>250.0</v>
      </c>
      <c r="G533" s="7">
        <v>0.0</v>
      </c>
      <c r="H533" s="7">
        <v>250.0</v>
      </c>
      <c r="I533" s="7">
        <v>0.0</v>
      </c>
    </row>
    <row r="534" ht="15.75" customHeight="1">
      <c r="B534" s="7" t="s">
        <v>1121</v>
      </c>
      <c r="C534" s="7" t="s">
        <v>699</v>
      </c>
      <c r="D534" s="7">
        <v>300.0</v>
      </c>
      <c r="E534" s="7">
        <v>300.0</v>
      </c>
      <c r="F534" s="7">
        <v>0.0</v>
      </c>
      <c r="G534" s="7">
        <v>0.0</v>
      </c>
      <c r="H534" s="7">
        <v>300.0</v>
      </c>
      <c r="I534" s="7">
        <v>0.0</v>
      </c>
    </row>
    <row r="535" ht="15.75" customHeight="1">
      <c r="D535" s="7">
        <f t="shared" ref="D535:H535" si="82">SUM(D527:D534)</f>
        <v>2750</v>
      </c>
      <c r="E535" s="7">
        <f t="shared" si="82"/>
        <v>550</v>
      </c>
      <c r="F535" s="7">
        <f t="shared" si="82"/>
        <v>1200</v>
      </c>
      <c r="G535" s="7">
        <f t="shared" si="82"/>
        <v>1000</v>
      </c>
      <c r="H535" s="7">
        <f t="shared" si="82"/>
        <v>1750</v>
      </c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</row>
    <row r="537" ht="15.75" customHeight="1">
      <c r="A537" s="74">
        <v>45637.0</v>
      </c>
      <c r="B537" s="7" t="s">
        <v>860</v>
      </c>
      <c r="C537" s="7" t="s">
        <v>1122</v>
      </c>
      <c r="D537" s="7">
        <v>100.0</v>
      </c>
      <c r="E537" s="7">
        <v>0.0</v>
      </c>
      <c r="F537" s="7">
        <v>100.0</v>
      </c>
      <c r="G537" s="7">
        <v>0.0</v>
      </c>
      <c r="H537" s="7">
        <v>100.0</v>
      </c>
      <c r="I537" s="7">
        <v>0.0</v>
      </c>
    </row>
    <row r="538" ht="15.75" customHeight="1">
      <c r="B538" s="7" t="s">
        <v>516</v>
      </c>
      <c r="C538" s="7" t="s">
        <v>1123</v>
      </c>
      <c r="D538" s="7">
        <v>280.0</v>
      </c>
      <c r="E538" s="7">
        <v>280.0</v>
      </c>
      <c r="F538" s="7">
        <v>0.0</v>
      </c>
      <c r="G538" s="7">
        <v>0.0</v>
      </c>
      <c r="H538" s="7">
        <v>280.0</v>
      </c>
      <c r="I538" s="7">
        <v>0.0</v>
      </c>
    </row>
    <row r="539" ht="15.75" customHeight="1">
      <c r="B539" s="7" t="s">
        <v>1028</v>
      </c>
      <c r="C539" s="7" t="s">
        <v>1124</v>
      </c>
      <c r="D539" s="7">
        <v>100.0</v>
      </c>
      <c r="E539" s="7">
        <v>100.0</v>
      </c>
      <c r="F539" s="7">
        <v>0.0</v>
      </c>
      <c r="G539" s="7">
        <v>0.0</v>
      </c>
      <c r="H539" s="7">
        <v>100.0</v>
      </c>
      <c r="I539" s="7">
        <v>0.0</v>
      </c>
    </row>
    <row r="540" ht="15.75" customHeight="1">
      <c r="B540" s="7" t="s">
        <v>1125</v>
      </c>
      <c r="C540" s="7" t="s">
        <v>1126</v>
      </c>
      <c r="D540" s="7">
        <v>300.0</v>
      </c>
      <c r="E540" s="7">
        <v>100.0</v>
      </c>
      <c r="F540" s="7">
        <v>200.0</v>
      </c>
      <c r="G540" s="7">
        <v>0.0</v>
      </c>
      <c r="H540" s="7">
        <v>300.0</v>
      </c>
      <c r="I540" s="7">
        <v>0.0</v>
      </c>
    </row>
    <row r="541" ht="15.75" customHeight="1">
      <c r="B541" s="7" t="s">
        <v>222</v>
      </c>
      <c r="C541" s="7" t="s">
        <v>1127</v>
      </c>
      <c r="D541" s="7">
        <v>250.0</v>
      </c>
      <c r="E541" s="7">
        <v>250.0</v>
      </c>
      <c r="F541" s="7">
        <v>0.0</v>
      </c>
      <c r="G541" s="7">
        <v>0.0</v>
      </c>
      <c r="H541" s="7">
        <v>250.0</v>
      </c>
      <c r="I541" s="7">
        <v>0.0</v>
      </c>
    </row>
    <row r="542" ht="15.75" customHeight="1">
      <c r="D542" s="7">
        <f t="shared" ref="D542:I542" si="83">SUM(D537:D541)</f>
        <v>1030</v>
      </c>
      <c r="E542" s="7">
        <f t="shared" si="83"/>
        <v>730</v>
      </c>
      <c r="F542" s="7">
        <f t="shared" si="83"/>
        <v>300</v>
      </c>
      <c r="G542" s="7">
        <f t="shared" si="83"/>
        <v>0</v>
      </c>
      <c r="H542" s="7">
        <f t="shared" si="83"/>
        <v>1030</v>
      </c>
      <c r="I542" s="7">
        <f t="shared" si="83"/>
        <v>0</v>
      </c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</row>
    <row r="544" ht="15.75" customHeight="1">
      <c r="A544" s="74">
        <v>45638.0</v>
      </c>
      <c r="B544" s="7" t="s">
        <v>1128</v>
      </c>
      <c r="C544" s="7" t="s">
        <v>1129</v>
      </c>
      <c r="D544" s="7">
        <v>100.0</v>
      </c>
      <c r="E544" s="7">
        <v>0.0</v>
      </c>
      <c r="F544" s="7">
        <v>100.0</v>
      </c>
      <c r="G544" s="7">
        <v>0.0</v>
      </c>
      <c r="H544" s="7">
        <v>100.0</v>
      </c>
      <c r="I544" s="7">
        <v>0.0</v>
      </c>
    </row>
    <row r="545" ht="15.75" customHeight="1">
      <c r="A545" s="74">
        <v>45638.0</v>
      </c>
      <c r="B545" s="76" t="s">
        <v>1052</v>
      </c>
      <c r="C545" s="7" t="s">
        <v>1130</v>
      </c>
      <c r="D545" s="7">
        <v>300.0</v>
      </c>
      <c r="E545" s="7">
        <v>0.0</v>
      </c>
      <c r="F545" s="7">
        <v>300.0</v>
      </c>
      <c r="G545" s="7">
        <v>0.0</v>
      </c>
      <c r="H545" s="7">
        <v>300.0</v>
      </c>
      <c r="I545" s="7">
        <v>0.0</v>
      </c>
    </row>
    <row r="546" ht="15.75" customHeight="1">
      <c r="B546" s="7" t="s">
        <v>838</v>
      </c>
      <c r="C546" s="7" t="s">
        <v>1131</v>
      </c>
      <c r="D546" s="7">
        <v>100.0</v>
      </c>
      <c r="E546" s="7">
        <v>100.0</v>
      </c>
      <c r="F546" s="7">
        <v>0.0</v>
      </c>
      <c r="G546" s="7">
        <v>0.0</v>
      </c>
      <c r="H546" s="7">
        <v>100.0</v>
      </c>
      <c r="I546" s="7">
        <v>0.0</v>
      </c>
    </row>
    <row r="547" ht="15.75" customHeight="1">
      <c r="B547" s="7" t="s">
        <v>1132</v>
      </c>
      <c r="C547" s="7" t="s">
        <v>1133</v>
      </c>
      <c r="D547" s="7">
        <v>500.0</v>
      </c>
      <c r="E547" s="7">
        <v>0.0</v>
      </c>
      <c r="F547" s="7">
        <v>500.0</v>
      </c>
      <c r="G547" s="7">
        <v>0.0</v>
      </c>
      <c r="H547" s="7">
        <v>500.0</v>
      </c>
      <c r="I547" s="7">
        <v>0.0</v>
      </c>
    </row>
    <row r="548" ht="15.75" customHeight="1">
      <c r="B548" s="7" t="s">
        <v>117</v>
      </c>
      <c r="C548" s="7" t="s">
        <v>1134</v>
      </c>
      <c r="D548" s="7">
        <v>380.0</v>
      </c>
      <c r="E548" s="7">
        <v>380.0</v>
      </c>
      <c r="F548" s="7">
        <v>0.0</v>
      </c>
      <c r="G548" s="7">
        <v>0.0</v>
      </c>
      <c r="H548" s="7">
        <v>280.0</v>
      </c>
      <c r="I548" s="7">
        <v>100.0</v>
      </c>
    </row>
    <row r="549" ht="15.75" customHeight="1">
      <c r="B549" s="7" t="s">
        <v>1135</v>
      </c>
      <c r="C549" s="7" t="s">
        <v>1136</v>
      </c>
      <c r="D549" s="7">
        <v>150.0</v>
      </c>
      <c r="E549" s="7">
        <v>0.0</v>
      </c>
      <c r="F549" s="7">
        <v>150.0</v>
      </c>
      <c r="G549" s="7">
        <v>0.0</v>
      </c>
      <c r="H549" s="7">
        <v>150.0</v>
      </c>
      <c r="I549" s="7">
        <v>0.0</v>
      </c>
    </row>
    <row r="550" ht="15.75" customHeight="1">
      <c r="B550" s="7"/>
      <c r="D550" s="7">
        <f t="shared" ref="D550:H550" si="84">SUM(D544:D549)</f>
        <v>1530</v>
      </c>
      <c r="E550" s="7">
        <f t="shared" si="84"/>
        <v>480</v>
      </c>
      <c r="F550" s="7">
        <f t="shared" si="84"/>
        <v>1050</v>
      </c>
      <c r="G550" s="7">
        <f t="shared" si="84"/>
        <v>0</v>
      </c>
      <c r="H550" s="7">
        <f t="shared" si="84"/>
        <v>1430</v>
      </c>
      <c r="I550" s="7">
        <v>100.0</v>
      </c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</row>
    <row r="552" ht="15.75" customHeight="1">
      <c r="A552" s="74">
        <v>45642.0</v>
      </c>
      <c r="B552" s="7" t="s">
        <v>1137</v>
      </c>
      <c r="C552" s="7" t="s">
        <v>1138</v>
      </c>
      <c r="D552" s="7">
        <v>500.0</v>
      </c>
      <c r="E552" s="7">
        <v>500.0</v>
      </c>
      <c r="F552" s="7">
        <v>0.0</v>
      </c>
      <c r="G552" s="7">
        <v>0.0</v>
      </c>
      <c r="H552" s="7">
        <v>500.0</v>
      </c>
      <c r="I552" s="7">
        <v>0.0</v>
      </c>
    </row>
    <row r="553" ht="15.75" customHeight="1">
      <c r="B553" s="7" t="s">
        <v>1139</v>
      </c>
      <c r="C553" s="7" t="s">
        <v>1140</v>
      </c>
      <c r="D553" s="7">
        <v>200.0</v>
      </c>
      <c r="E553" s="7">
        <v>200.0</v>
      </c>
      <c r="F553" s="7">
        <v>0.0</v>
      </c>
      <c r="G553" s="7">
        <v>0.0</v>
      </c>
      <c r="H553" s="7">
        <v>200.0</v>
      </c>
      <c r="I553" s="7">
        <v>0.0</v>
      </c>
    </row>
    <row r="554" ht="15.75" customHeight="1">
      <c r="B554" s="7" t="s">
        <v>1141</v>
      </c>
      <c r="C554" s="7" t="s">
        <v>1142</v>
      </c>
      <c r="D554" s="7">
        <v>270.0</v>
      </c>
      <c r="E554" s="7">
        <v>220.0</v>
      </c>
      <c r="F554" s="7">
        <v>50.0</v>
      </c>
      <c r="G554" s="7">
        <v>0.0</v>
      </c>
      <c r="H554" s="7">
        <v>280.0</v>
      </c>
      <c r="I554" s="7">
        <v>0.0</v>
      </c>
    </row>
    <row r="555" ht="15.75" customHeight="1">
      <c r="B555" s="7" t="s">
        <v>1143</v>
      </c>
      <c r="C555" s="7" t="s">
        <v>1144</v>
      </c>
      <c r="D555" s="7">
        <v>900.0</v>
      </c>
      <c r="E555" s="7">
        <v>0.0</v>
      </c>
      <c r="F555" s="7">
        <v>0.0</v>
      </c>
      <c r="G555" s="7">
        <v>900.0</v>
      </c>
      <c r="H555" s="7">
        <v>0.0</v>
      </c>
      <c r="I555" s="7">
        <v>0.0</v>
      </c>
    </row>
    <row r="556" ht="15.75" customHeight="1">
      <c r="B556" s="7" t="s">
        <v>1145</v>
      </c>
      <c r="C556" s="7" t="s">
        <v>1146</v>
      </c>
      <c r="D556" s="7">
        <v>130.0</v>
      </c>
      <c r="E556" s="7">
        <v>130.0</v>
      </c>
      <c r="F556" s="7">
        <v>0.0</v>
      </c>
      <c r="G556" s="7">
        <v>0.0</v>
      </c>
      <c r="H556" s="7">
        <v>130.0</v>
      </c>
      <c r="I556" s="7">
        <v>0.0</v>
      </c>
    </row>
    <row r="557" ht="15.75" customHeight="1">
      <c r="B557" s="7"/>
      <c r="C557" s="7"/>
      <c r="D557" s="7">
        <f t="shared" ref="D557:I557" si="85">SUM(D552:D556)</f>
        <v>2000</v>
      </c>
      <c r="E557" s="7">
        <f t="shared" si="85"/>
        <v>1050</v>
      </c>
      <c r="F557" s="7">
        <f t="shared" si="85"/>
        <v>50</v>
      </c>
      <c r="G557" s="7">
        <f t="shared" si="85"/>
        <v>900</v>
      </c>
      <c r="H557" s="7">
        <f t="shared" si="85"/>
        <v>1110</v>
      </c>
      <c r="I557" s="7">
        <f t="shared" si="85"/>
        <v>0</v>
      </c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</row>
    <row r="559" ht="15.75" customHeight="1">
      <c r="A559" s="74">
        <v>45643.0</v>
      </c>
      <c r="B559" s="7" t="s">
        <v>1147</v>
      </c>
      <c r="C559" s="7" t="s">
        <v>1148</v>
      </c>
      <c r="D559" s="7">
        <v>80.0</v>
      </c>
      <c r="E559" s="7">
        <v>80.0</v>
      </c>
      <c r="F559" s="7">
        <v>0.0</v>
      </c>
      <c r="G559" s="7">
        <v>0.0</v>
      </c>
      <c r="H559" s="7">
        <v>0.0</v>
      </c>
      <c r="I559" s="7">
        <v>80.0</v>
      </c>
    </row>
    <row r="560" ht="15.75" customHeight="1">
      <c r="B560" s="7" t="s">
        <v>1149</v>
      </c>
      <c r="C560" s="7" t="s">
        <v>1150</v>
      </c>
      <c r="D560" s="7">
        <v>500.0</v>
      </c>
      <c r="E560" s="7">
        <v>0.0</v>
      </c>
      <c r="F560" s="7">
        <v>500.0</v>
      </c>
      <c r="G560" s="7">
        <v>0.0</v>
      </c>
      <c r="H560" s="7">
        <v>500.0</v>
      </c>
      <c r="I560" s="7">
        <v>0.0</v>
      </c>
    </row>
    <row r="561" ht="15.75" customHeight="1">
      <c r="B561" s="7" t="s">
        <v>1151</v>
      </c>
      <c r="C561" s="7" t="s">
        <v>1152</v>
      </c>
      <c r="D561" s="7">
        <v>100.0</v>
      </c>
      <c r="E561" s="7">
        <v>0.0</v>
      </c>
      <c r="F561" s="7">
        <v>100.0</v>
      </c>
      <c r="G561" s="7">
        <v>0.0</v>
      </c>
      <c r="H561" s="7">
        <v>100.0</v>
      </c>
      <c r="I561" s="7">
        <v>0.0</v>
      </c>
    </row>
    <row r="562" ht="15.75" customHeight="1">
      <c r="D562" s="7">
        <v>680.0</v>
      </c>
      <c r="E562" s="7">
        <v>80.0</v>
      </c>
      <c r="F562" s="7">
        <v>600.0</v>
      </c>
      <c r="H562" s="7">
        <v>600.0</v>
      </c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</row>
    <row r="564" ht="15.75" customHeight="1">
      <c r="A564" s="74">
        <v>45644.0</v>
      </c>
      <c r="B564" s="7" t="s">
        <v>741</v>
      </c>
      <c r="C564" s="7" t="s">
        <v>1153</v>
      </c>
      <c r="D564" s="7">
        <v>150.0</v>
      </c>
      <c r="E564" s="7">
        <v>0.0</v>
      </c>
      <c r="F564" s="7">
        <v>150.0</v>
      </c>
      <c r="G564" s="7">
        <v>0.0</v>
      </c>
      <c r="H564" s="7">
        <v>150.0</v>
      </c>
      <c r="I564" s="7">
        <v>0.0</v>
      </c>
    </row>
    <row r="565" ht="15.75" customHeight="1">
      <c r="B565" s="7" t="s">
        <v>1154</v>
      </c>
      <c r="C565" s="7" t="s">
        <v>1155</v>
      </c>
      <c r="D565" s="7">
        <v>350.0</v>
      </c>
      <c r="E565" s="7">
        <v>0.0</v>
      </c>
      <c r="F565" s="7">
        <v>350.0</v>
      </c>
      <c r="G565" s="7">
        <v>0.0</v>
      </c>
      <c r="H565" s="7">
        <v>350.0</v>
      </c>
      <c r="I565" s="7">
        <v>0.0</v>
      </c>
    </row>
    <row r="566" ht="15.75" customHeight="1">
      <c r="B566" s="7" t="s">
        <v>229</v>
      </c>
      <c r="C566" s="7" t="s">
        <v>1156</v>
      </c>
      <c r="D566" s="7">
        <v>300.0</v>
      </c>
      <c r="E566" s="7">
        <v>0.0</v>
      </c>
      <c r="F566" s="7">
        <v>300.0</v>
      </c>
      <c r="G566" s="7">
        <v>0.0</v>
      </c>
      <c r="H566" s="7">
        <v>300.0</v>
      </c>
      <c r="I566" s="7">
        <v>0.0</v>
      </c>
    </row>
    <row r="567" ht="15.75" customHeight="1">
      <c r="B567" s="7" t="s">
        <v>1016</v>
      </c>
      <c r="C567" s="7" t="s">
        <v>1157</v>
      </c>
      <c r="D567" s="7">
        <v>240.0</v>
      </c>
      <c r="E567" s="7">
        <v>0.0</v>
      </c>
      <c r="F567" s="7">
        <v>240.0</v>
      </c>
      <c r="G567" s="7">
        <v>0.0</v>
      </c>
      <c r="H567" s="7">
        <v>240.0</v>
      </c>
      <c r="I567" s="7">
        <v>0.0</v>
      </c>
    </row>
    <row r="568" ht="15.75" customHeight="1">
      <c r="B568" s="7" t="s">
        <v>1158</v>
      </c>
      <c r="C568" s="7" t="s">
        <v>1159</v>
      </c>
      <c r="D568" s="7">
        <v>350.0</v>
      </c>
      <c r="E568" s="7">
        <v>0.0</v>
      </c>
      <c r="F568" s="7">
        <v>350.0</v>
      </c>
      <c r="G568" s="7">
        <v>0.0</v>
      </c>
      <c r="H568" s="7">
        <v>350.0</v>
      </c>
      <c r="I568" s="7">
        <v>0.0</v>
      </c>
    </row>
    <row r="569" ht="15.75" customHeight="1">
      <c r="B569" s="7" t="s">
        <v>1160</v>
      </c>
      <c r="C569" s="7" t="s">
        <v>1161</v>
      </c>
      <c r="D569" s="7">
        <v>250.0</v>
      </c>
      <c r="E569" s="7">
        <v>0.0</v>
      </c>
      <c r="F569" s="7">
        <v>250.0</v>
      </c>
      <c r="G569" s="7">
        <v>0.0</v>
      </c>
      <c r="H569" s="7">
        <v>250.0</v>
      </c>
      <c r="I569" s="7">
        <v>0.0</v>
      </c>
    </row>
    <row r="570" ht="15.75" customHeight="1">
      <c r="D570" s="7">
        <f>SUM(D564:D569)</f>
        <v>1640</v>
      </c>
      <c r="F570" s="7">
        <f>SUM(F564:F569)</f>
        <v>1640</v>
      </c>
      <c r="H570" s="7">
        <f>SUM(H564:H569)</f>
        <v>1640</v>
      </c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</row>
    <row r="572" ht="15.75" customHeight="1">
      <c r="A572" s="74">
        <v>45645.0</v>
      </c>
      <c r="B572" s="7" t="s">
        <v>56</v>
      </c>
      <c r="C572" s="7" t="s">
        <v>1162</v>
      </c>
      <c r="D572" s="7">
        <v>1250.0</v>
      </c>
      <c r="E572" s="7">
        <v>1250.0</v>
      </c>
      <c r="F572" s="7">
        <v>0.0</v>
      </c>
      <c r="G572" s="7">
        <v>0.0</v>
      </c>
      <c r="H572" s="7">
        <v>1250.0</v>
      </c>
      <c r="I572" s="7">
        <v>0.0</v>
      </c>
    </row>
    <row r="573" ht="15.75" customHeight="1">
      <c r="B573" s="7" t="s">
        <v>1163</v>
      </c>
      <c r="C573" s="7" t="s">
        <v>1164</v>
      </c>
      <c r="D573" s="7">
        <v>100.0</v>
      </c>
      <c r="E573" s="7">
        <v>100.0</v>
      </c>
      <c r="F573" s="7">
        <v>0.0</v>
      </c>
      <c r="G573" s="7">
        <v>0.0</v>
      </c>
      <c r="H573" s="7">
        <v>0.0</v>
      </c>
      <c r="I573" s="7">
        <v>100.0</v>
      </c>
    </row>
    <row r="574" ht="15.75" customHeight="1">
      <c r="B574" s="7" t="s">
        <v>1165</v>
      </c>
      <c r="C574" s="7" t="s">
        <v>448</v>
      </c>
      <c r="D574" s="7">
        <v>300.0</v>
      </c>
      <c r="E574" s="7">
        <v>300.0</v>
      </c>
      <c r="F574" s="7">
        <v>0.0</v>
      </c>
      <c r="G574" s="7">
        <v>0.0</v>
      </c>
      <c r="H574" s="7">
        <v>300.0</v>
      </c>
      <c r="I574" s="7">
        <v>0.0</v>
      </c>
    </row>
    <row r="575" ht="15.75" customHeight="1">
      <c r="B575" s="7" t="s">
        <v>1166</v>
      </c>
      <c r="C575" s="7" t="s">
        <v>1100</v>
      </c>
      <c r="D575" s="7">
        <v>50.0</v>
      </c>
      <c r="E575" s="7">
        <v>50.0</v>
      </c>
      <c r="F575" s="7">
        <v>0.0</v>
      </c>
      <c r="G575" s="7">
        <v>0.0</v>
      </c>
      <c r="H575" s="7">
        <v>50.0</v>
      </c>
      <c r="I575" s="7">
        <v>0.0</v>
      </c>
    </row>
    <row r="576" ht="15.75" customHeight="1">
      <c r="B576" s="7" t="s">
        <v>490</v>
      </c>
      <c r="C576" s="7" t="s">
        <v>388</v>
      </c>
      <c r="D576" s="7">
        <v>100.0</v>
      </c>
      <c r="E576" s="7">
        <v>70.0</v>
      </c>
      <c r="F576" s="7">
        <v>30.0</v>
      </c>
      <c r="G576" s="7"/>
      <c r="H576" s="7"/>
      <c r="I576" s="7"/>
    </row>
    <row r="577" ht="15.75" customHeight="1">
      <c r="B577" s="7" t="s">
        <v>125</v>
      </c>
      <c r="C577" s="7" t="s">
        <v>1167</v>
      </c>
      <c r="D577" s="7">
        <v>280.0</v>
      </c>
      <c r="E577" s="7">
        <v>0.0</v>
      </c>
      <c r="F577" s="7">
        <v>280.0</v>
      </c>
      <c r="G577" s="7">
        <v>0.0</v>
      </c>
      <c r="H577" s="7">
        <v>280.0</v>
      </c>
      <c r="I577" s="7">
        <v>0.0</v>
      </c>
    </row>
    <row r="578" ht="15.75" customHeight="1">
      <c r="D578" s="7">
        <f t="shared" ref="D578:F578" si="86">SUM(D572:D577)</f>
        <v>2080</v>
      </c>
      <c r="E578" s="7">
        <f t="shared" si="86"/>
        <v>1770</v>
      </c>
      <c r="F578" s="7">
        <f t="shared" si="86"/>
        <v>310</v>
      </c>
      <c r="H578" s="7">
        <f>SUM(H572:H577)</f>
        <v>1880</v>
      </c>
      <c r="I578" s="7">
        <v>100.0</v>
      </c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</row>
    <row r="580" ht="15.75" customHeight="1">
      <c r="A580" s="74">
        <v>45649.0</v>
      </c>
      <c r="B580" s="7" t="s">
        <v>1168</v>
      </c>
      <c r="C580" s="7" t="s">
        <v>1169</v>
      </c>
      <c r="D580" s="7">
        <v>40.0</v>
      </c>
      <c r="E580" s="7">
        <v>40.0</v>
      </c>
      <c r="F580" s="7">
        <v>0.0</v>
      </c>
      <c r="G580" s="7">
        <v>0.0</v>
      </c>
      <c r="H580" s="7">
        <v>0.0</v>
      </c>
      <c r="I580" s="7">
        <v>40.0</v>
      </c>
    </row>
    <row r="581" ht="15.75" customHeight="1">
      <c r="B581" s="7" t="s">
        <v>1170</v>
      </c>
      <c r="C581" s="7" t="s">
        <v>1171</v>
      </c>
      <c r="D581" s="7">
        <v>385.0</v>
      </c>
      <c r="E581" s="7">
        <v>385.0</v>
      </c>
      <c r="F581" s="7">
        <v>0.0</v>
      </c>
      <c r="G581" s="7">
        <v>0.0</v>
      </c>
      <c r="H581" s="7">
        <v>300.0</v>
      </c>
      <c r="I581" s="7">
        <v>85.0</v>
      </c>
    </row>
    <row r="582" ht="15.75" customHeight="1">
      <c r="B582" s="7" t="s">
        <v>1099</v>
      </c>
      <c r="C582" s="7" t="s">
        <v>1172</v>
      </c>
      <c r="D582" s="7">
        <v>300.0</v>
      </c>
      <c r="E582" s="7">
        <v>300.0</v>
      </c>
      <c r="F582" s="7">
        <v>0.0</v>
      </c>
      <c r="G582" s="7">
        <v>0.0</v>
      </c>
      <c r="H582" s="7">
        <v>300.0</v>
      </c>
      <c r="I582" s="7">
        <v>0.0</v>
      </c>
    </row>
    <row r="583" ht="15.75" customHeight="1">
      <c r="B583" s="7" t="s">
        <v>1173</v>
      </c>
      <c r="C583" s="7" t="s">
        <v>1174</v>
      </c>
      <c r="D583" s="7">
        <v>250.0</v>
      </c>
      <c r="E583" s="7">
        <v>250.0</v>
      </c>
      <c r="F583" s="7">
        <v>0.0</v>
      </c>
      <c r="G583" s="7">
        <v>0.0</v>
      </c>
      <c r="H583" s="7">
        <v>250.0</v>
      </c>
      <c r="I583" s="7">
        <v>0.0</v>
      </c>
    </row>
    <row r="584" ht="15.75" customHeight="1">
      <c r="B584" s="7" t="s">
        <v>614</v>
      </c>
      <c r="C584" s="7" t="s">
        <v>1175</v>
      </c>
      <c r="D584" s="7">
        <v>1100.0</v>
      </c>
      <c r="E584" s="7">
        <v>1100.0</v>
      </c>
      <c r="F584" s="7">
        <v>0.0</v>
      </c>
      <c r="G584" s="7">
        <v>0.0</v>
      </c>
      <c r="H584" s="7">
        <v>1100.0</v>
      </c>
      <c r="I584" s="7">
        <v>0.0</v>
      </c>
    </row>
    <row r="585" ht="15.75" customHeight="1">
      <c r="B585" s="7" t="s">
        <v>1176</v>
      </c>
      <c r="C585" s="7" t="s">
        <v>1177</v>
      </c>
      <c r="D585" s="7">
        <v>700.0</v>
      </c>
      <c r="E585" s="7">
        <v>700.0</v>
      </c>
      <c r="F585" s="7">
        <v>0.0</v>
      </c>
      <c r="G585" s="7">
        <v>0.0</v>
      </c>
      <c r="H585" s="7">
        <v>0.0</v>
      </c>
    </row>
    <row r="586" ht="15.75" customHeight="1">
      <c r="B586" s="7" t="s">
        <v>1178</v>
      </c>
      <c r="C586" s="7" t="s">
        <v>1179</v>
      </c>
      <c r="D586" s="7">
        <v>50.0</v>
      </c>
      <c r="E586" s="7">
        <v>0.0</v>
      </c>
      <c r="F586" s="7">
        <v>0.0</v>
      </c>
      <c r="G586" s="7">
        <v>50.0</v>
      </c>
      <c r="H586" s="7">
        <v>50.0</v>
      </c>
      <c r="I586" s="7">
        <v>0.0</v>
      </c>
    </row>
    <row r="587" ht="15.75" customHeight="1">
      <c r="B587" s="7" t="s">
        <v>1180</v>
      </c>
      <c r="C587" s="7" t="s">
        <v>1181</v>
      </c>
      <c r="D587" s="7">
        <v>50.0</v>
      </c>
      <c r="E587" s="7">
        <v>0.0</v>
      </c>
      <c r="F587" s="7">
        <v>0.0</v>
      </c>
      <c r="G587" s="7">
        <v>50.0</v>
      </c>
      <c r="H587" s="7">
        <v>0.0</v>
      </c>
      <c r="I587" s="7">
        <v>0.0</v>
      </c>
    </row>
    <row r="588" ht="15.75" customHeight="1">
      <c r="D588" s="7">
        <f t="shared" ref="D588:E588" si="87">SUM(D580:D587)</f>
        <v>2875</v>
      </c>
      <c r="E588" s="7">
        <f t="shared" si="87"/>
        <v>2775</v>
      </c>
      <c r="F588" s="7">
        <v>0.0</v>
      </c>
      <c r="G588" s="7">
        <v>100.0</v>
      </c>
      <c r="H588" s="7">
        <f t="shared" ref="H588:I588" si="88">SUM(H580:H587)</f>
        <v>2000</v>
      </c>
      <c r="I588" s="7">
        <f t="shared" si="88"/>
        <v>125</v>
      </c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</row>
    <row r="590" ht="15.75" customHeight="1">
      <c r="A590" s="74">
        <v>45652.0</v>
      </c>
      <c r="B590" s="7" t="s">
        <v>1182</v>
      </c>
      <c r="C590" s="7" t="s">
        <v>1183</v>
      </c>
      <c r="D590" s="7">
        <v>650.0</v>
      </c>
      <c r="E590" s="7">
        <v>650.0</v>
      </c>
      <c r="F590" s="7">
        <v>0.0</v>
      </c>
      <c r="G590" s="7">
        <v>0.0</v>
      </c>
      <c r="H590" s="7">
        <v>650.0</v>
      </c>
      <c r="I590" s="7">
        <v>0.0</v>
      </c>
    </row>
    <row r="591" ht="15.75" customHeight="1">
      <c r="B591" s="7" t="s">
        <v>1184</v>
      </c>
      <c r="C591" s="7" t="s">
        <v>1185</v>
      </c>
      <c r="D591" s="7">
        <v>180.0</v>
      </c>
      <c r="E591" s="7">
        <v>40.0</v>
      </c>
      <c r="F591" s="7">
        <v>140.0</v>
      </c>
      <c r="G591" s="7">
        <v>0.0</v>
      </c>
      <c r="H591" s="7">
        <v>140.0</v>
      </c>
      <c r="I591" s="7">
        <v>0.0</v>
      </c>
    </row>
    <row r="592" ht="15.75" customHeight="1">
      <c r="B592" s="7" t="s">
        <v>1186</v>
      </c>
      <c r="C592" s="7" t="s">
        <v>448</v>
      </c>
      <c r="D592" s="7">
        <v>300.0</v>
      </c>
      <c r="E592" s="7">
        <v>300.0</v>
      </c>
      <c r="F592" s="7">
        <v>0.0</v>
      </c>
      <c r="G592" s="7">
        <v>0.0</v>
      </c>
      <c r="H592" s="7">
        <v>300.0</v>
      </c>
      <c r="I592" s="7">
        <v>0.0</v>
      </c>
    </row>
    <row r="593" ht="15.75" customHeight="1">
      <c r="B593" s="7" t="s">
        <v>1187</v>
      </c>
      <c r="C593" s="7" t="s">
        <v>1188</v>
      </c>
      <c r="D593" s="7">
        <v>750.0</v>
      </c>
      <c r="E593" s="7">
        <v>0.0</v>
      </c>
      <c r="F593" s="7">
        <v>0.0</v>
      </c>
      <c r="G593" s="7">
        <v>750.0</v>
      </c>
      <c r="H593" s="7">
        <v>750.0</v>
      </c>
      <c r="I593" s="7">
        <v>0.0</v>
      </c>
    </row>
    <row r="594" ht="15.75" customHeight="1">
      <c r="D594" s="7">
        <f t="shared" ref="D594:H594" si="89">SUM(D590:D593)</f>
        <v>1880</v>
      </c>
      <c r="E594" s="7">
        <f t="shared" si="89"/>
        <v>990</v>
      </c>
      <c r="F594" s="7">
        <f t="shared" si="89"/>
        <v>140</v>
      </c>
      <c r="G594" s="7">
        <f t="shared" si="89"/>
        <v>750</v>
      </c>
      <c r="H594" s="7">
        <f t="shared" si="89"/>
        <v>1840</v>
      </c>
    </row>
    <row r="595" ht="15.75" customHeight="1">
      <c r="A595" s="20"/>
      <c r="B595" s="20"/>
      <c r="C595" s="20"/>
      <c r="D595" s="20" t="s">
        <v>93</v>
      </c>
      <c r="E595" s="20"/>
      <c r="F595" s="20"/>
      <c r="G595" s="20"/>
      <c r="H595" s="20"/>
      <c r="I595" s="20"/>
    </row>
    <row r="596" ht="15.75" customHeight="1">
      <c r="A596" s="74">
        <v>45653.0</v>
      </c>
      <c r="B596" s="7" t="s">
        <v>1189</v>
      </c>
      <c r="C596" s="7" t="s">
        <v>1190</v>
      </c>
      <c r="D596" s="7">
        <v>280.0</v>
      </c>
      <c r="E596" s="7">
        <v>0.0</v>
      </c>
      <c r="F596" s="7">
        <v>0.0</v>
      </c>
      <c r="G596" s="7">
        <v>280.0</v>
      </c>
      <c r="H596" s="7">
        <v>0.0</v>
      </c>
      <c r="I596" s="7">
        <v>0.0</v>
      </c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73"/>
      <c r="K597" s="7"/>
    </row>
    <row r="598" ht="15.75" customHeight="1">
      <c r="I598" s="7" t="s">
        <v>1191</v>
      </c>
      <c r="J598" s="77">
        <v>15742.84</v>
      </c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L303:P303"/>
    <mergeCell ref="L391:P391"/>
    <mergeCell ref="K503:O503"/>
    <mergeCell ref="A1:I1"/>
    <mergeCell ref="L3:P3"/>
    <mergeCell ref="C9:E9"/>
    <mergeCell ref="C16:G16"/>
    <mergeCell ref="L127:P127"/>
    <mergeCell ref="L220:P220"/>
    <mergeCell ref="L229:P22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