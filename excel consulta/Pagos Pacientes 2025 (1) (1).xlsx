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 3" sheetId="3" r:id="rId6"/>
  </sheets>
  <definedNames/>
  <calcPr/>
  <extLst>
    <ext uri="GoogleSheetsCustomDataVersion2">
      <go:sheetsCustomData xmlns:go="http://customooxmlschemas.google.com/" r:id="rId7" roundtripDataChecksum="GrpG6S0FDt8Rt7yROA9biH+0XP2k8cmUsqi8Hh6G81M="/>
    </ext>
  </extLst>
</workbook>
</file>

<file path=xl/sharedStrings.xml><?xml version="1.0" encoding="utf-8"?>
<sst xmlns="http://schemas.openxmlformats.org/spreadsheetml/2006/main" count="2336" uniqueCount="1564">
  <si>
    <t>Fecha</t>
  </si>
  <si>
    <t>PACIENTE</t>
  </si>
  <si>
    <t>TRATAMIENTOS</t>
  </si>
  <si>
    <t>Resumen</t>
  </si>
  <si>
    <t>PAGO TOTAL</t>
  </si>
  <si>
    <t>EFECTIVO</t>
  </si>
  <si>
    <t>TARJETA</t>
  </si>
  <si>
    <t>Transferencia</t>
  </si>
  <si>
    <t>TTO. MÉDICO</t>
  </si>
  <si>
    <t>TTO. ESTÉTICO</t>
  </si>
  <si>
    <t>COSMÉTICA</t>
  </si>
  <si>
    <t>667 07 10 73 ~Maria</t>
  </si>
  <si>
    <t xml:space="preserve">reserva cita </t>
  </si>
  <si>
    <t xml:space="preserve">RSRV </t>
  </si>
  <si>
    <t>Maria Morales Ramos</t>
  </si>
  <si>
    <t>reserva de llipofilling + nanofat</t>
  </si>
  <si>
    <t>RSRV QUIRG</t>
  </si>
  <si>
    <t>María Morales Ramos</t>
  </si>
  <si>
    <t>2ª pago nanofat + lipofiling facial en cara + cuello (800) + manos (200 gratis) + pecho (200 gratis)</t>
  </si>
  <si>
    <t xml:space="preserve">LF NF </t>
  </si>
  <si>
    <t xml:space="preserve">Montserrat Peña </t>
  </si>
  <si>
    <t xml:space="preserve">2º sesion de adipozon abdomen </t>
  </si>
  <si>
    <t>1 ADIPO</t>
  </si>
  <si>
    <t xml:space="preserve">Maria Peña </t>
  </si>
  <si>
    <t>1º sesion adipozon abdomen</t>
  </si>
  <si>
    <t>Lola Perez Antequera</t>
  </si>
  <si>
    <t>1º sesion peeling exosomas (facial) + 1 vial ah rh1 (nasogeniano)</t>
  </si>
  <si>
    <t>PEELEXO 1</t>
  </si>
  <si>
    <t>Francisca Fernández Muñoz</t>
  </si>
  <si>
    <t xml:space="preserve">Plexr periocular (2ª sesión --&gt; 200) + Morpheus Periocular (350) </t>
  </si>
  <si>
    <t>REPPLEXOJO MP PEROCU</t>
  </si>
  <si>
    <t xml:space="preserve">Marta gutierrez Gómez </t>
  </si>
  <si>
    <t xml:space="preserve">17 sesión Forma </t>
  </si>
  <si>
    <t>FORMFACCUE</t>
  </si>
  <si>
    <t xml:space="preserve">RAÚL SERRANO JORDAN </t>
  </si>
  <si>
    <t xml:space="preserve">Dermapen (70) + Ergycell (35) </t>
  </si>
  <si>
    <t>DM4 ERG</t>
  </si>
  <si>
    <t xml:space="preserve"> Candy Godoy Pastor </t>
  </si>
  <si>
    <t>3ª sesión Morpheus lorcillas de paletilla  + chichilla diafragmática (500) + Crema de exosomas(100)</t>
  </si>
  <si>
    <t>MP BRA COS CREXO</t>
  </si>
  <si>
    <t>Mayte Hernández Revuelto</t>
  </si>
  <si>
    <t>bodytite abd. sup. + inf (1000). + Morpheus sup + inf (350)</t>
  </si>
  <si>
    <t xml:space="preserve">BT MP  ABD </t>
  </si>
  <si>
    <t>Isabel María Fernández Madrid</t>
  </si>
  <si>
    <t xml:space="preserve">2º lipofilling facial pecho </t>
  </si>
  <si>
    <t>LF PECH</t>
  </si>
  <si>
    <t xml:space="preserve"> Mari Carmen García Martin</t>
  </si>
  <si>
    <t>2ª Sesión Morpheus Facial + cuello + 1ª sesión glúteo + 1ª sesión mollete rodilla</t>
  </si>
  <si>
    <t>MP FAC CUE GLU ROD</t>
  </si>
  <si>
    <t>Diego Jesús Reyes Ortiz</t>
  </si>
  <si>
    <t xml:space="preserve">Bótox </t>
  </si>
  <si>
    <t>BTX</t>
  </si>
  <si>
    <t xml:space="preserve">María Victoria Morales Ramos </t>
  </si>
  <si>
    <t xml:space="preserve">Revisión + 1ª ses. Deep Slim cara + cuello </t>
  </si>
  <si>
    <t>DS FACCUE</t>
  </si>
  <si>
    <t>Carmen Sevilla Arévalo</t>
  </si>
  <si>
    <t>Reserva de nanofat cara + cuello + escote</t>
  </si>
  <si>
    <t>María del Águila Martín Ruíz</t>
  </si>
  <si>
    <t xml:space="preserve">1ª sesión de exosomas capilares + dermapen (300 regalo de su hermana) </t>
  </si>
  <si>
    <t>EXO + DP8</t>
  </si>
  <si>
    <t>Alicia Cara López</t>
  </si>
  <si>
    <t>1ª sesión hialurodinasa en submentón + pómulo + ecografía (incluida)</t>
  </si>
  <si>
    <t>HNASA</t>
  </si>
  <si>
    <t>Nerjes Zdairi</t>
  </si>
  <si>
    <t>Reserva de cita de evaluación</t>
  </si>
  <si>
    <t>RSRV</t>
  </si>
  <si>
    <t>José Cazorla Vidaña</t>
  </si>
  <si>
    <t xml:space="preserve">hialurodinasa </t>
  </si>
  <si>
    <t>Maria Piedad Baca Salinas</t>
  </si>
  <si>
    <t>Radiesse (400) + 1 vial a.h. (350) + 1 crema de exosomas (100)</t>
  </si>
  <si>
    <t>RADISSE  1AH  CREXO</t>
  </si>
  <si>
    <t>María Teresa López Rodríguez</t>
  </si>
  <si>
    <t xml:space="preserve">1ª morpheus cicatrices pecho </t>
  </si>
  <si>
    <t>MP CIC</t>
  </si>
  <si>
    <t>SOLEDAD GARCIA VAQUERO</t>
  </si>
  <si>
    <t>3ª sesión Morpheus Facial + cuello + escote</t>
  </si>
  <si>
    <t>MP FACCUEESC</t>
  </si>
  <si>
    <t>Rocio Correa Rodríguez</t>
  </si>
  <si>
    <t xml:space="preserve">Sesión exosomas infiltrados + dermapen + máscara led </t>
  </si>
  <si>
    <t>EXO  DP8  LED</t>
  </si>
  <si>
    <t>María Dolores Martínez Sánchez</t>
  </si>
  <si>
    <t xml:space="preserve">Protección Solar </t>
  </si>
  <si>
    <t>PS</t>
  </si>
  <si>
    <t xml:space="preserve">MARTA GUTIÉRREZ GÓMEZ </t>
  </si>
  <si>
    <t xml:space="preserve">18 sesión Forma facial + cuello </t>
  </si>
  <si>
    <t xml:space="preserve">1ª sesión exosomas + dermapen </t>
  </si>
  <si>
    <t>EXO  DP8</t>
  </si>
  <si>
    <t xml:space="preserve"> </t>
  </si>
  <si>
    <t>New York Clinic</t>
  </si>
  <si>
    <t>Ana Imbernon Casas</t>
  </si>
  <si>
    <t>1 Radiesse</t>
  </si>
  <si>
    <t>RADISSE</t>
  </si>
  <si>
    <t>Bárbara Ruiz Delgado</t>
  </si>
  <si>
    <t>1 vial Profhilo facial (350)+ Vitaminas Ergycell (50)</t>
  </si>
  <si>
    <t>PROFHFAC ERGYC</t>
  </si>
  <si>
    <t>Dolores Sánchez Fernández</t>
  </si>
  <si>
    <t>1ª sesión Dermapen Facial  (Descuento de 100 euros)</t>
  </si>
  <si>
    <t>DPFAC</t>
  </si>
  <si>
    <t>Ana Belén Correa Ramos</t>
  </si>
  <si>
    <t xml:space="preserve"> Bótox</t>
  </si>
  <si>
    <t>440 + 1250</t>
  </si>
  <si>
    <t>,</t>
  </si>
  <si>
    <t>Gastos tarjeta</t>
  </si>
  <si>
    <t>1 vial a.h en pómulos (350) + 1 vial Redensity ojera (400)</t>
  </si>
  <si>
    <t>1AH  1AHOJO</t>
  </si>
  <si>
    <t>2º pago de 1ª sesión de morpheus en abdomen sup + inf y revisión</t>
  </si>
  <si>
    <t>MP FACCUE</t>
  </si>
  <si>
    <t>Pilar Izquierdo Zapata</t>
  </si>
  <si>
    <t xml:space="preserve">Transferencia reserva de cita </t>
  </si>
  <si>
    <t xml:space="preserve">Marta Gutierrez Gómez </t>
  </si>
  <si>
    <t xml:space="preserve">Peeling de exosomas </t>
  </si>
  <si>
    <t>EXOPEEL</t>
  </si>
  <si>
    <t>Martirio Fresneda Salas</t>
  </si>
  <si>
    <t>4ª sesión peeling exosomas (50) reserva previamente realizada + Crema protección solar (40)</t>
  </si>
  <si>
    <t>EXOPEEL  PS</t>
  </si>
  <si>
    <t>Regina Fedorova</t>
  </si>
  <si>
    <t xml:space="preserve">1ª Sesión Morpheus facial + cuello (450) (hizo reserva de 50) + reserva prox cita (50) </t>
  </si>
  <si>
    <t>MPFACCUE RESERV</t>
  </si>
  <si>
    <t xml:space="preserve">Marisol Navarro Ramírez </t>
  </si>
  <si>
    <t>6ª sesión Adipozon rodillas (1 vial)</t>
  </si>
  <si>
    <t>María López Peña (Amiga de Monserrat Peña)</t>
  </si>
  <si>
    <t>2ª sesión ADIPO abdomen (1 vial)</t>
  </si>
  <si>
    <t xml:space="preserve">Monserrat López Peña </t>
  </si>
  <si>
    <t>3ª sesión Adipozón  (1 vial)</t>
  </si>
  <si>
    <t>1ª EV</t>
  </si>
  <si>
    <t>Araceli Checa Viedma</t>
  </si>
  <si>
    <t>2ª infiltración  de PRP en las rodillas</t>
  </si>
  <si>
    <t>PRP</t>
  </si>
  <si>
    <t>Salvador Rubí Crespo</t>
  </si>
  <si>
    <t>3ª sesión PRP</t>
  </si>
  <si>
    <t xml:space="preserve">Demelsa Perea Marín </t>
  </si>
  <si>
    <t>1ª seisón Morpheus abdominal</t>
  </si>
  <si>
    <t>MP ABD</t>
  </si>
  <si>
    <t xml:space="preserve">Rosana Arcos Escobar </t>
  </si>
  <si>
    <t xml:space="preserve">1 vial a.h rh2 pedibucal y patas de gallo + 1 vial bótox </t>
  </si>
  <si>
    <t>AH  BTX</t>
  </si>
  <si>
    <t xml:space="preserve">Yolanda María Fernández Heredia </t>
  </si>
  <si>
    <t xml:space="preserve">1ª sesión MP facial + cuello </t>
  </si>
  <si>
    <t>MP8</t>
  </si>
  <si>
    <t xml:space="preserve"> Montse Salmerón Lupiañez</t>
  </si>
  <si>
    <t xml:space="preserve">1 vial a.h. RHA2 </t>
  </si>
  <si>
    <t>1 AH</t>
  </si>
  <si>
    <t>Francisco Gimenez Callejón</t>
  </si>
  <si>
    <t xml:space="preserve">3ª sesión deep slim post acutite </t>
  </si>
  <si>
    <t>DS</t>
  </si>
  <si>
    <t>Marta Gutierrez Gómez</t>
  </si>
  <si>
    <t xml:space="preserve">19 sesión Forma Facial </t>
  </si>
  <si>
    <t>FORM</t>
  </si>
  <si>
    <t>Radiesse</t>
  </si>
  <si>
    <t>RADIESSE</t>
  </si>
  <si>
    <t>Celia Rodriguez Tarifa</t>
  </si>
  <si>
    <t xml:space="preserve">4ª sesión acp facial </t>
  </si>
  <si>
    <t>ACP</t>
  </si>
  <si>
    <t>Lola Pérez Antequera</t>
  </si>
  <si>
    <t>retoque a.h. teoxane + peeling de exosomas</t>
  </si>
  <si>
    <t>Patricia Carolina Herrera</t>
  </si>
  <si>
    <t>Bótox + 1 vial a.h de teoxane</t>
  </si>
  <si>
    <t>BTX AH</t>
  </si>
  <si>
    <t xml:space="preserve">1ª sesión deep slim cicatrices pecho </t>
  </si>
  <si>
    <t>DS RECO</t>
  </si>
  <si>
    <t xml:space="preserve">Maria Jesús Capilla Pérez </t>
  </si>
  <si>
    <t xml:space="preserve">nanofat + lipofilling facial + cuello </t>
  </si>
  <si>
    <t>LIPOFILL FAC</t>
  </si>
  <si>
    <t>Yolanda Serrano Escudero.</t>
  </si>
  <si>
    <t>bodytite monte de venus + nivelación de cicatriz de cesárea</t>
  </si>
  <si>
    <t xml:space="preserve">Maria Piedad Baca Salinas </t>
  </si>
  <si>
    <t>retoque radiesse + profhilo body  (debe 250)</t>
  </si>
  <si>
    <t>dra se lleva 1950 en efe</t>
  </si>
  <si>
    <t>Eva Liria Rubio</t>
  </si>
  <si>
    <t xml:space="preserve">2ª sesión Morpheus facial + cuello </t>
  </si>
  <si>
    <t xml:space="preserve">Pago lipofillig labios </t>
  </si>
  <si>
    <t>LIPOFILL LAB</t>
  </si>
  <si>
    <t xml:space="preserve"> Gema López Picón</t>
  </si>
  <si>
    <t>1er Morpheus facial + cuello y plexr en párpados</t>
  </si>
  <si>
    <t>MP FACCUE BLEF PLEXR</t>
  </si>
  <si>
    <t xml:space="preserve">Paqui Arcos Escobar </t>
  </si>
  <si>
    <t xml:space="preserve">exosomas capilares con Dermapen </t>
  </si>
  <si>
    <t xml:space="preserve">EXO </t>
  </si>
  <si>
    <t xml:space="preserve"> Carmen Sevilla Arévalo</t>
  </si>
  <si>
    <t>Nanofat + lipofilling + cara + cuello + escote</t>
  </si>
  <si>
    <t>LF CARCUEESCO</t>
  </si>
  <si>
    <t>Natalia Nagula</t>
  </si>
  <si>
    <t>BOTOX</t>
  </si>
  <si>
    <t xml:space="preserve">Teruyo(Terry) Daito </t>
  </si>
  <si>
    <t xml:space="preserve">3ª sesión Morpheus facial + cuello </t>
  </si>
  <si>
    <t>Dra--&gt; 300 efe</t>
  </si>
  <si>
    <t>Azucena Martínez Lobera</t>
  </si>
  <si>
    <t xml:space="preserve">Relleno de labios Fidia </t>
  </si>
  <si>
    <t>AH LAB LIPS</t>
  </si>
  <si>
    <t>Gabriel Barón Tristán</t>
  </si>
  <si>
    <t>plexr lesión mejilla</t>
  </si>
  <si>
    <t>plexr</t>
  </si>
  <si>
    <t xml:space="preserve">2ª sesión Morpheus abdominal </t>
  </si>
  <si>
    <t xml:space="preserve">Sheila Coronado Fernández (EJ) </t>
  </si>
  <si>
    <t>1ª sesión exosomas infiltrados + dermapen</t>
  </si>
  <si>
    <t>EXO FAC</t>
  </si>
  <si>
    <t>Maria José Ibáñez Ibáñez.</t>
  </si>
  <si>
    <t>RELLENO DE LABIOS HYAL SYSTEM LIPS</t>
  </si>
  <si>
    <t>LAB LIPS FIDIA</t>
  </si>
  <si>
    <t>Salvador García Sevilla</t>
  </si>
  <si>
    <t xml:space="preserve">1 vial Radiesse </t>
  </si>
  <si>
    <t>Ana Belén Morillas Martín</t>
  </si>
  <si>
    <t xml:space="preserve">1 vial de Radiesse </t>
  </si>
  <si>
    <t>Isabel Garrido Herrera</t>
  </si>
  <si>
    <t xml:space="preserve">2ª Sesión prp facial </t>
  </si>
  <si>
    <t>Patricia Carolina Herrero</t>
  </si>
  <si>
    <t xml:space="preserve">peeling </t>
  </si>
  <si>
    <t xml:space="preserve">EXO PEEL </t>
  </si>
  <si>
    <t xml:space="preserve">Ana Belén Morillas </t>
  </si>
  <si>
    <t>1ª SESIÓN Morpheus gluteo + muslos completos</t>
  </si>
  <si>
    <t>MP GLUMUSL</t>
  </si>
  <si>
    <t>Repaso plexr en párpado superior (100) + ergycell (35)</t>
  </si>
  <si>
    <t>PLXR ERGY</t>
  </si>
  <si>
    <t>Encarnación (Nani) García Ruiz</t>
  </si>
  <si>
    <t>hialurodinasa (100) + BÓTOX 300</t>
  </si>
  <si>
    <t>HIALU BTX</t>
  </si>
  <si>
    <t>Alicia (Amiga Noelia) -</t>
  </si>
  <si>
    <t>ACP (300) + DERMAPEN (100)</t>
  </si>
  <si>
    <t>ACP DP8</t>
  </si>
  <si>
    <t>Maria José Godoy Salmerón</t>
  </si>
  <si>
    <t>Profhilo face (410) + ACP (320) (-50 DE LA RESERVA)</t>
  </si>
  <si>
    <t>PF</t>
  </si>
  <si>
    <t>Jibriel Danfa Darboe</t>
  </si>
  <si>
    <t>2ª EXOSOMAS CAPILARES</t>
  </si>
  <si>
    <t>EXO CAP</t>
  </si>
  <si>
    <t>Mari Carmen García Martin</t>
  </si>
  <si>
    <t>Encarnación Rodríguez Santiago</t>
  </si>
  <si>
    <t>Reserva Bodytite abdomen inf y un poco del sup</t>
  </si>
  <si>
    <t>Dra --&gt; 1815</t>
  </si>
  <si>
    <t xml:space="preserve"> Forma cuello + brazos (250) --&gt; debe 250 de kitprofhilo body</t>
  </si>
  <si>
    <t>FORM FACCUE DEU</t>
  </si>
  <si>
    <t>1ª SESIÓN PRP CAPILAR + MICRONEEDLING</t>
  </si>
  <si>
    <t>PRP CAPI</t>
  </si>
  <si>
    <t>Maria Luisa Milán Rueda</t>
  </si>
  <si>
    <t>Marta Usabiaga Garrido</t>
  </si>
  <si>
    <t>venta crema de exosomas</t>
  </si>
  <si>
    <t>exo cream</t>
  </si>
  <si>
    <t>Bárbara Ruiz Delgago</t>
  </si>
  <si>
    <t xml:space="preserve">Profhilo Face </t>
  </si>
  <si>
    <t>PFFACE</t>
  </si>
  <si>
    <t>Jose Luis</t>
  </si>
  <si>
    <t>plexr lesiones benignas</t>
  </si>
  <si>
    <t>PLXR FAC</t>
  </si>
  <si>
    <t>Leo Jímenez Martín</t>
  </si>
  <si>
    <t>Extracción queloide oreja</t>
  </si>
  <si>
    <t>Cirugía menor</t>
  </si>
  <si>
    <t xml:space="preserve">Comanas Sidona </t>
  </si>
  <si>
    <t>plexr lesión nariz y sien</t>
  </si>
  <si>
    <t>PLEXR</t>
  </si>
  <si>
    <t>Relleno de a.h pómulo (360) + relleno de ojera (410) (Descontados -50 de la reserva)</t>
  </si>
  <si>
    <t>A.H POM OJE</t>
  </si>
  <si>
    <t>Maria del Mar García Martín</t>
  </si>
  <si>
    <t>4ª sesión sesióbn deep slim pierna linfedema</t>
  </si>
  <si>
    <t>Mariluz Salmerón Ramos</t>
  </si>
  <si>
    <t>botox azzalure</t>
  </si>
  <si>
    <t>Nicolás Valero Martín</t>
  </si>
  <si>
    <t>Bodytite abdomen inferior + interior de los muslos + brazos + flancos</t>
  </si>
  <si>
    <t>BTite</t>
  </si>
  <si>
    <t xml:space="preserve"> Francisca Fernández Muñoz</t>
  </si>
  <si>
    <t xml:space="preserve">1ª sesión Morpheus tercio medio + inferior + cuello </t>
  </si>
  <si>
    <t xml:space="preserve">MP FAC CUE </t>
  </si>
  <si>
    <t>María José Elvira Ferrer</t>
  </si>
  <si>
    <t xml:space="preserve">reserva  cita evaluación </t>
  </si>
  <si>
    <t>RESRV</t>
  </si>
  <si>
    <t>María del Carmen Domene Torreblanca</t>
  </si>
  <si>
    <t>2ª sesión morpheus facial + cuello + plexr en quistes de millium párpados (gratis)</t>
  </si>
  <si>
    <t>MP FAC PLEXR</t>
  </si>
  <si>
    <t>Maria Salmeron Gutiérrez</t>
  </si>
  <si>
    <t>1er Radiesse</t>
  </si>
  <si>
    <t>1a sesión prp capilar</t>
  </si>
  <si>
    <t>PRP CAP</t>
  </si>
  <si>
    <t>Rita María Gutiérrez Ramos</t>
  </si>
  <si>
    <t>1ª sesión ACP + NESAI+ CREMA DE EXOSOMAS + PROTECTOR SOLAR</t>
  </si>
  <si>
    <t>ACP NESAI CREXO PROTSOL</t>
  </si>
  <si>
    <t>5ª sesión deep slim una pierna linfedema</t>
  </si>
  <si>
    <t xml:space="preserve">Mari Carmen García Martin </t>
  </si>
  <si>
    <t>3ª sesión Morpheus facial + cuello</t>
  </si>
  <si>
    <t>Celia Rodríguez Tarifa</t>
  </si>
  <si>
    <t>2º ACP</t>
  </si>
  <si>
    <t>1ª sesión dermapen facial + peeling de exosomas</t>
  </si>
  <si>
    <t>EXOPEEL DP</t>
  </si>
  <si>
    <t>Juan Manuel Cuadrado Palmero</t>
  </si>
  <si>
    <t xml:space="preserve">1er Radiesse + 1er bótox </t>
  </si>
  <si>
    <t>RADI BTX</t>
  </si>
  <si>
    <t xml:space="preserve">4ª sesión prp capilar </t>
  </si>
  <si>
    <t xml:space="preserve">Alina Stefan </t>
  </si>
  <si>
    <t>reserva de cita</t>
  </si>
  <si>
    <t>Demelsa Perea Marín</t>
  </si>
  <si>
    <t>1ª sesión Prodhilo face</t>
  </si>
  <si>
    <t>PROFHILO</t>
  </si>
  <si>
    <t>1ª sesión adipozón interior de los muslos</t>
  </si>
  <si>
    <t>ADIPO</t>
  </si>
  <si>
    <t>Senaida Enrique Cruz</t>
  </si>
  <si>
    <t xml:space="preserve">Reserva Bodytite </t>
  </si>
  <si>
    <t>Alicia Villegas Titos</t>
  </si>
  <si>
    <t>1ª sesión Morpheus8 interior de los muslos +  parte de atrás</t>
  </si>
  <si>
    <t>MP CORP</t>
  </si>
  <si>
    <t xml:space="preserve"> María López Peña</t>
  </si>
  <si>
    <t xml:space="preserve">3ª sesión Adipozon </t>
  </si>
  <si>
    <t>ADIPO ABD</t>
  </si>
  <si>
    <t xml:space="preserve">1ª sesión de Morpheus face + cuello </t>
  </si>
  <si>
    <t>MP FAC</t>
  </si>
  <si>
    <t>1ª infiltración de Corticoide</t>
  </si>
  <si>
    <t>INFLTR</t>
  </si>
  <si>
    <t>Marta Delgado Gómez</t>
  </si>
  <si>
    <t>Reserva Bodytite abdomen bajo + interior de los muslos</t>
  </si>
  <si>
    <t>RSRV BT</t>
  </si>
  <si>
    <t xml:space="preserve">Cristina Atehortua Tapasco </t>
  </si>
  <si>
    <t>Bótox Vistabel</t>
  </si>
  <si>
    <t>Sara Milán</t>
  </si>
  <si>
    <t>1ª sesión Morpheus bananita celulitis</t>
  </si>
  <si>
    <t xml:space="preserve">Damaris Villegas Rivas </t>
  </si>
  <si>
    <t>1er vial a.h. labios</t>
  </si>
  <si>
    <t>A.H LAB</t>
  </si>
  <si>
    <t>ISABEL TRINIDAD PEREZ ALVAREZ</t>
  </si>
  <si>
    <t xml:space="preserve">1er Profhilo Face </t>
  </si>
  <si>
    <t>PROFH Face</t>
  </si>
  <si>
    <t>Marisol Navarro Ramírez</t>
  </si>
  <si>
    <t>5ª sesión de Adipozon rodillas</t>
  </si>
  <si>
    <t xml:space="preserve">1ª sesión Morpheus cicatrices ingles </t>
  </si>
  <si>
    <t>MP Resurf</t>
  </si>
  <si>
    <t>Nuria Quero Requena</t>
  </si>
  <si>
    <t>Reserva</t>
  </si>
  <si>
    <t>Dra --&gt; 640</t>
  </si>
  <si>
    <t xml:space="preserve">3ª PRP en rodilla </t>
  </si>
  <si>
    <t>5ª sesión deep slim  pierna</t>
  </si>
  <si>
    <t>DP PIERN</t>
  </si>
  <si>
    <t>Mercedes Alcaina Rodríguez</t>
  </si>
  <si>
    <t>Gelu Cayuela</t>
  </si>
  <si>
    <t>FADWA AROUF</t>
  </si>
  <si>
    <t>Sara García López</t>
  </si>
  <si>
    <t>Promo ACP -  2 viales</t>
  </si>
  <si>
    <t>SONIA SANCHEZ CABRERA</t>
  </si>
  <si>
    <t xml:space="preserve">1ª sesión Alydia </t>
  </si>
  <si>
    <t>ALY 1</t>
  </si>
  <si>
    <t>Mari Angeles GARCIA MORALES</t>
  </si>
  <si>
    <t>Duo</t>
  </si>
  <si>
    <t>DUO</t>
  </si>
  <si>
    <t>TOTAL</t>
  </si>
  <si>
    <t>Paulina Gorskae</t>
  </si>
  <si>
    <t xml:space="preserve">Relleno de labios </t>
  </si>
  <si>
    <t>1 AH LAB</t>
  </si>
  <si>
    <t>2 viales de acp + 1 profhilo body</t>
  </si>
  <si>
    <t>2ACP 1PFBODY</t>
  </si>
  <si>
    <t>maria piedad bacas salinas</t>
  </si>
  <si>
    <t>2º Kit de profhilo body</t>
  </si>
  <si>
    <t>1 PFBODY</t>
  </si>
  <si>
    <t>Regina SKREBKOVA</t>
  </si>
  <si>
    <t xml:space="preserve">Morpheus facial + cuello </t>
  </si>
  <si>
    <t xml:space="preserve">MP8 </t>
  </si>
  <si>
    <t>Dra --&gt; 1400</t>
  </si>
  <si>
    <t xml:space="preserve">1ª sesión Morpheus cara + cuello </t>
  </si>
  <si>
    <t>MP8 FACCUE</t>
  </si>
  <si>
    <t>Mercedes Fernandez Herrera</t>
  </si>
  <si>
    <t>Bótox + Promoción DUO + ACP</t>
  </si>
  <si>
    <t>BTX DUO ACP</t>
  </si>
  <si>
    <t>Anastasiia Milshtein</t>
  </si>
  <si>
    <t>BTX 300</t>
  </si>
  <si>
    <t>Manuel José Torrecillas Montoya</t>
  </si>
  <si>
    <t>BÓTOX (300) + A.H RH2 (300)</t>
  </si>
  <si>
    <t xml:space="preserve">Mari Carmen Pérez Zúñiga </t>
  </si>
  <si>
    <t xml:space="preserve">Estructura Profhilo </t>
  </si>
  <si>
    <t>Dra --&gt; 900</t>
  </si>
  <si>
    <t>Mónica Moreno Montaño</t>
  </si>
  <si>
    <t xml:space="preserve">mesoterapia de vitaminas facial + cuello </t>
  </si>
  <si>
    <t>MESO FAC</t>
  </si>
  <si>
    <t>María Salmerón Gutiérrez.</t>
  </si>
  <si>
    <t xml:space="preserve">1a sesión Profhilo estructura </t>
  </si>
  <si>
    <t>PF ESTR</t>
  </si>
  <si>
    <t>Dermapen + peeling</t>
  </si>
  <si>
    <t>DP EXOPEEL</t>
  </si>
  <si>
    <t xml:space="preserve">Ana Belén Morillas Martín </t>
  </si>
  <si>
    <t>2ª sesión Morpheus8 gluteo + muslos</t>
  </si>
  <si>
    <t>MP8 GLUTMUSL</t>
  </si>
  <si>
    <t>3ª Sesión Morpheus8  facial + cuello</t>
  </si>
  <si>
    <t>Depp slim 1 pierna completa</t>
  </si>
  <si>
    <t xml:space="preserve">DS </t>
  </si>
  <si>
    <t>Bodytite abdomen inferior</t>
  </si>
  <si>
    <t>BT ABD</t>
  </si>
  <si>
    <t>Carmen Martín Martín</t>
  </si>
  <si>
    <t xml:space="preserve">2 viales de duo peribucal </t>
  </si>
  <si>
    <t>Paqui Arcos Escobar</t>
  </si>
  <si>
    <t>Exosomas meso + dermapen manos (Des: 100€)</t>
  </si>
  <si>
    <t>EXO</t>
  </si>
  <si>
    <t>Montserrat Mengivar Ponce</t>
  </si>
  <si>
    <t>1 vial Duo peribucal</t>
  </si>
  <si>
    <t>María De La Cabeza Ortiz Serrano</t>
  </si>
  <si>
    <t xml:space="preserve">PRP facial + cuello + dermapen </t>
  </si>
  <si>
    <t>PRP FAC</t>
  </si>
  <si>
    <t xml:space="preserve"> Mercedes Marañes Alcaide</t>
  </si>
  <si>
    <t xml:space="preserve">1 profhilo body en cuello </t>
  </si>
  <si>
    <t>PF BODY</t>
  </si>
  <si>
    <t xml:space="preserve">2º Profhilo face + 2º acp facial </t>
  </si>
  <si>
    <t>PF ACP</t>
  </si>
  <si>
    <t xml:space="preserve">Rita María Gutierrez Arévalo </t>
  </si>
  <si>
    <t xml:space="preserve">Protector Solar </t>
  </si>
  <si>
    <t xml:space="preserve">Crema </t>
  </si>
  <si>
    <t>Angeles Ruiz Flores</t>
  </si>
  <si>
    <t xml:space="preserve">reserva </t>
  </si>
  <si>
    <t>2ª parte bodytite en abd sup + muslos completos</t>
  </si>
  <si>
    <t>BT ABD MUSL</t>
  </si>
  <si>
    <t>Jibriel Danfa Darboe -631357549- 2ª SESIÓN EXOSOMAS</t>
  </si>
  <si>
    <t>3ª sesión exosomas capilares</t>
  </si>
  <si>
    <t>Mari Carmen Bautista Pardo</t>
  </si>
  <si>
    <t xml:space="preserve">Mariluz Salmerón Ramos </t>
  </si>
  <si>
    <t>desbridamiento cicatriz (100) + acp facial (250)</t>
  </si>
  <si>
    <t>DSBRID 1 ACP</t>
  </si>
  <si>
    <t>Dra --&gt; 2000</t>
  </si>
  <si>
    <t>Carmen Herrerías Moya</t>
  </si>
  <si>
    <t>Plexr en cara cuello, pecho y escote</t>
  </si>
  <si>
    <t xml:space="preserve">Reserva </t>
  </si>
  <si>
    <t>Cristina Jiménez Jiménez</t>
  </si>
  <si>
    <t>ecografía (50 por reserva) + profhilo estructura</t>
  </si>
  <si>
    <t>PF ESTRUCT</t>
  </si>
  <si>
    <t>RESERVA</t>
  </si>
  <si>
    <t>Mari Carmen Domene Torreblanca</t>
  </si>
  <si>
    <t>RADIESSE (P.C.) + Redensity 2 (P.C.)</t>
  </si>
  <si>
    <t>RAD RDSTY</t>
  </si>
  <si>
    <t>Maria luisa Milán Rueda</t>
  </si>
  <si>
    <t>adelanto  3ª sesión de Morpheus corporal abdomen</t>
  </si>
  <si>
    <t>4ª sesión de peeling con exosomas periocular + blister de serum de Mariderm despigmentante</t>
  </si>
  <si>
    <t>EXO PEEL</t>
  </si>
  <si>
    <t xml:space="preserve">Sara Miralles Vargas </t>
  </si>
  <si>
    <t>reserva</t>
  </si>
  <si>
    <t>Nandy Clavero Criado (Berja)</t>
  </si>
  <si>
    <t>Eliani B. Oliveira</t>
  </si>
  <si>
    <t>María del Mar García Martín</t>
  </si>
  <si>
    <t>6ª Sesión deep slim 1 pierna</t>
  </si>
  <si>
    <t>DS CORP</t>
  </si>
  <si>
    <t xml:space="preserve">3ª sesión Morpheus abdominal </t>
  </si>
  <si>
    <t>2ª seisón alydia</t>
  </si>
  <si>
    <t>ALY</t>
  </si>
  <si>
    <t>MARY CARMEN MUÑOZ</t>
  </si>
  <si>
    <t>RAD</t>
  </si>
  <si>
    <t xml:space="preserve">Barara ruiz delgado </t>
  </si>
  <si>
    <t>sv pomulos 350 + peribucal duo 300 + crema de exosomas (100)</t>
  </si>
  <si>
    <t xml:space="preserve">TERESA ALCÁNTARA GOMEZ </t>
  </si>
  <si>
    <t>ACP (250) + BÓTOX (300)</t>
  </si>
  <si>
    <t>ACP BTX</t>
  </si>
  <si>
    <t>Magnolia Riso Velasco</t>
  </si>
  <si>
    <t xml:space="preserve">retoque de escleroterapia </t>
  </si>
  <si>
    <t>VAR</t>
  </si>
  <si>
    <t>duo peribucal + reserva de a.h gluteo</t>
  </si>
  <si>
    <t>RSRv</t>
  </si>
  <si>
    <t xml:space="preserve">1 ACP FACIAL + PROFHILO BODY </t>
  </si>
  <si>
    <t>ACP PB</t>
  </si>
  <si>
    <t>Beatriz Morillas Martín</t>
  </si>
  <si>
    <t>1ª SESION DERMAPEN CON EXOSOMAS FACIAL + CREMA DE EXOSOMAS</t>
  </si>
  <si>
    <t>DP EXO</t>
  </si>
  <si>
    <t xml:space="preserve">1er acp FACIAL </t>
  </si>
  <si>
    <t>ACP FAC</t>
  </si>
  <si>
    <t xml:space="preserve">Maria Salmerón Gutierrez </t>
  </si>
  <si>
    <t xml:space="preserve">Reserva lipofilling facial + nanofat </t>
  </si>
  <si>
    <t xml:space="preserve">1 ER AC FACIAL </t>
  </si>
  <si>
    <t xml:space="preserve"> María del Águila Martín Ruíz</t>
  </si>
  <si>
    <t xml:space="preserve">2ª sesión exosomas capilares </t>
  </si>
  <si>
    <t>Yolanda María Fernández</t>
  </si>
  <si>
    <t xml:space="preserve">2ª SEISÓN MORPHEUS FACIAL  + CUELLO </t>
  </si>
  <si>
    <t>3ª sesión Morpheus abdominal</t>
  </si>
  <si>
    <t>Dra--&gt; 1150</t>
  </si>
  <si>
    <t>Encarni Rodríguez Santiago</t>
  </si>
  <si>
    <t>2º pago bodytite abd.inf.+ un poco sup (-50€ reserv)</t>
  </si>
  <si>
    <t>2ª sesión Profhilo Face</t>
  </si>
  <si>
    <t>PF FAC</t>
  </si>
  <si>
    <t>María Aguilera Rodríguez</t>
  </si>
  <si>
    <t>Bono 8 sesiones deep slim cicatrices (300)</t>
  </si>
  <si>
    <t>BN DS</t>
  </si>
  <si>
    <t>10 sesiones deep slim pierna Linfedema</t>
  </si>
  <si>
    <t>DS PIER</t>
  </si>
  <si>
    <t>Marcela Andreu Alcalá</t>
  </si>
  <si>
    <t xml:space="preserve">peeling de exosomas </t>
  </si>
  <si>
    <t>Rosana Arcos Escobar</t>
  </si>
  <si>
    <t xml:space="preserve">1er acp facial </t>
  </si>
  <si>
    <t>Eva María Castañeda Gaitán</t>
  </si>
  <si>
    <t>botox bruxismo</t>
  </si>
  <si>
    <t>BTX BRUX</t>
  </si>
  <si>
    <t>MP FACUE</t>
  </si>
  <si>
    <t>Alina Estefan</t>
  </si>
  <si>
    <t xml:space="preserve">1ª sesión peeling de exosomas + dermapen </t>
  </si>
  <si>
    <t>EXO PEEL  DP</t>
  </si>
  <si>
    <t>infiltración de fortecortín</t>
  </si>
  <si>
    <t>9ª sesión Adipozón en Rodillas</t>
  </si>
  <si>
    <t>Mari Carmen Lucena Priego</t>
  </si>
  <si>
    <t>reserva primera evauación</t>
  </si>
  <si>
    <t>Damaris Villegas Rivas</t>
  </si>
  <si>
    <t>primer pago reserva cita bodytite</t>
  </si>
  <si>
    <t>BD ABD</t>
  </si>
  <si>
    <t>Mari Carmen Palmero Jiménez</t>
  </si>
  <si>
    <t>Eva Maria Cabeo García</t>
  </si>
  <si>
    <t>reserva 1ª ev</t>
  </si>
  <si>
    <t>New York clinic</t>
  </si>
  <si>
    <t>ALICIA PELAEZ MATEU</t>
  </si>
  <si>
    <t>1 vial a.h pómulos (350) + plexr (100)</t>
  </si>
  <si>
    <t>A.H. PLEXR</t>
  </si>
  <si>
    <t xml:space="preserve">BARBARA RUIZ DELGADO </t>
  </si>
  <si>
    <t xml:space="preserve">2º vial a.h en pómulos (350) </t>
  </si>
  <si>
    <t xml:space="preserve">A.H </t>
  </si>
  <si>
    <t>MARIA ANGELES GARCIA</t>
  </si>
  <si>
    <t>2º DUO PERIBUCAL 280</t>
  </si>
  <si>
    <t xml:space="preserve">ANA BELEN CORREA RAMOS </t>
  </si>
  <si>
    <t>Exosomas + dermapen + crema solar</t>
  </si>
  <si>
    <t>EXO PS</t>
  </si>
  <si>
    <t>Total NYC + EL EJIDO</t>
  </si>
  <si>
    <t xml:space="preserve">Rita María Gutiérrez Ramos </t>
  </si>
  <si>
    <t>2ª sesión morpheus8 + protector solar</t>
  </si>
  <si>
    <t>MP8 FACCUE PS</t>
  </si>
  <si>
    <t xml:space="preserve"> Sara de León González</t>
  </si>
  <si>
    <t xml:space="preserve">1ª </t>
  </si>
  <si>
    <t xml:space="preserve">Trini Ortega Conde </t>
  </si>
  <si>
    <t>1ª sesión dermapen abdomen + flancos + muslos</t>
  </si>
  <si>
    <t>DP CORP</t>
  </si>
  <si>
    <t xml:space="preserve">Encarna Vázquez Vicente </t>
  </si>
  <si>
    <t>1 vial a.h ev.</t>
  </si>
  <si>
    <t xml:space="preserve"> Rocío Correa Ramos</t>
  </si>
  <si>
    <t xml:space="preserve">5ª sesión dermapen + exosomas (regalo) </t>
  </si>
  <si>
    <t>Ionela Roxana Ciocanta</t>
  </si>
  <si>
    <t>1ª sesión Dermapen + exosomas (contorno de ojos)</t>
  </si>
  <si>
    <t>Estefanía Gómez Sánchez</t>
  </si>
  <si>
    <t xml:space="preserve">Plexr verrugas facial </t>
  </si>
  <si>
    <t xml:space="preserve">Montse Salmerón Lupiañez </t>
  </si>
  <si>
    <t>1ª ses Profhilo Body cuello</t>
  </si>
  <si>
    <t>Rocio Mateo Lirola</t>
  </si>
  <si>
    <t>2 viales de adipozon muslos y gluteos</t>
  </si>
  <si>
    <t xml:space="preserve"> Dra efe --&gt; 1050</t>
  </si>
  <si>
    <t>Nicolasa Sánchez Poza</t>
  </si>
  <si>
    <t>RESERVA DE CITA</t>
  </si>
  <si>
    <t>Eliani De Oliveira Dorisbor</t>
  </si>
  <si>
    <t>Bótox vitabell (-50 de la reserva)</t>
  </si>
  <si>
    <t xml:space="preserve">Dermapen cicatriz + 2º acp cicatriz </t>
  </si>
  <si>
    <t>Maria Del Carmen Gómez Moreno</t>
  </si>
  <si>
    <t>1er Profhilo body (800) + 1er profhilo estructura (450)</t>
  </si>
  <si>
    <t>PFBODY STRUCTA</t>
  </si>
  <si>
    <t>Anita Martín Arcos</t>
  </si>
  <si>
    <t xml:space="preserve">2ª sesión de dermapen con peeling de exosomas facial </t>
  </si>
  <si>
    <t>Dra efe: 1500</t>
  </si>
  <si>
    <t>Maria Azahara Sanchez Morante</t>
  </si>
  <si>
    <t>Tamara hurtado Martos</t>
  </si>
  <si>
    <t>María Salmerón Gutiérrez</t>
  </si>
  <si>
    <t>2º pago lipotransferencia facial + nanofat (750) + ergycell (35)</t>
  </si>
  <si>
    <t>LIPOFILL FACCUE</t>
  </si>
  <si>
    <t xml:space="preserve">Paqui Marín Martín </t>
  </si>
  <si>
    <t>Ana Lorenzo Brao</t>
  </si>
  <si>
    <t>María Jesús Callejón García</t>
  </si>
  <si>
    <t xml:space="preserve">subcisión facial </t>
  </si>
  <si>
    <t>DESBR</t>
  </si>
  <si>
    <t xml:space="preserve">Salvador Rubí Crespo </t>
  </si>
  <si>
    <t>5ª sesión prp capilar + Ergycell (35) + reserva cita NANOFAT (400)</t>
  </si>
  <si>
    <t>1 vial Radiesse</t>
  </si>
  <si>
    <t>RADI</t>
  </si>
  <si>
    <t>2 viales acp  facial (promo)</t>
  </si>
  <si>
    <t>Dra: 450</t>
  </si>
  <si>
    <t xml:space="preserve">Mireilla Barbero Lara </t>
  </si>
  <si>
    <t>Monica Rusen</t>
  </si>
  <si>
    <t xml:space="preserve"> Alicia Orihuela Cozar</t>
  </si>
  <si>
    <t>1 vial de DUO peribucal</t>
  </si>
  <si>
    <t>3ª sesión Morpheus8  facial + cuello + lóbulos de las orejas</t>
  </si>
  <si>
    <t>2º vial Duo peribucal + 2º ACP del rostro</t>
  </si>
  <si>
    <t xml:space="preserve">DUO ACP </t>
  </si>
  <si>
    <t>HLIMA KARRIMA</t>
  </si>
  <si>
    <t>2ª sesión Morpheus Glúteo (500)+ 400 que debía</t>
  </si>
  <si>
    <t>MP GLUT</t>
  </si>
  <si>
    <t>Tamara Hurtado Martos</t>
  </si>
  <si>
    <t>Relleno de labios (-50 euros de reserva)</t>
  </si>
  <si>
    <t>RELL LAB</t>
  </si>
  <si>
    <t>Bono 6 sesiones de forma cara y cuello</t>
  </si>
  <si>
    <t>BONO</t>
  </si>
  <si>
    <t xml:space="preserve">2ª vial acp periocular principalmente </t>
  </si>
  <si>
    <t>Rosa Garcia Casademunt</t>
  </si>
  <si>
    <t>1 vial ACP FACIAL</t>
  </si>
  <si>
    <t>Carmen Oliver Sánchez</t>
  </si>
  <si>
    <t>1 vial de bótox + 1 vial de redensity 2</t>
  </si>
  <si>
    <t>BTX + RD2</t>
  </si>
  <si>
    <t>Mari Carmen Rodríguez Rodríguez</t>
  </si>
  <si>
    <t xml:space="preserve">1 vial de bótox + 1 vial acp </t>
  </si>
  <si>
    <t>BTX + ACP</t>
  </si>
  <si>
    <t xml:space="preserve"> Gádor Sevilla Arévalo</t>
  </si>
  <si>
    <t>1er Morpheus facial y cuello + 2 duos (450)</t>
  </si>
  <si>
    <t>MP FACUE DUO</t>
  </si>
  <si>
    <t>Nandy Clavero Criado</t>
  </si>
  <si>
    <t>1er Radiesse facial</t>
  </si>
  <si>
    <t xml:space="preserve"> RADI</t>
  </si>
  <si>
    <t>Silvia Gutierrez Cobo</t>
  </si>
  <si>
    <t>Bótox</t>
  </si>
  <si>
    <t>BTX A.H.</t>
  </si>
  <si>
    <t>Maite Mateo Yebra</t>
  </si>
  <si>
    <t>Combo 3 sesiones ACP (600)</t>
  </si>
  <si>
    <t>3 ACP</t>
  </si>
  <si>
    <t>SUSANA RODRÍGUEZ FERNÁNDEZ</t>
  </si>
  <si>
    <t>1 vial bótox frente (300) + 1 vial a.h. (350)</t>
  </si>
  <si>
    <t>RAÚL SERRANO JORDAN</t>
  </si>
  <si>
    <t>Dermapen facial con exosomas (70) + ACP (150)</t>
  </si>
  <si>
    <t>ACP DPFAC</t>
  </si>
  <si>
    <t>2 VIALES de Radiesse + crema de exomas</t>
  </si>
  <si>
    <t>2 RADI FACCUE</t>
  </si>
  <si>
    <t>MARTA GUTIÉRREZ GÓMEZ</t>
  </si>
  <si>
    <t>30 euros para la caja</t>
  </si>
  <si>
    <t>Sara García Gonzalez</t>
  </si>
  <si>
    <t>2ª sesión Morpheus en interior de los muslos + bananita (150) + 2 viales de Alydia (100)</t>
  </si>
  <si>
    <t>MP8 Alydia</t>
  </si>
  <si>
    <t>Rita María Gutiérrez Ramo</t>
  </si>
  <si>
    <t>3er vial acp facial (225) + Crema de exosomas (100)</t>
  </si>
  <si>
    <t>ACP EXOCREM</t>
  </si>
  <si>
    <t>4ª SESIÓN MESOTERAPIA</t>
  </si>
  <si>
    <t>Sonia Sánchez cabrera</t>
  </si>
  <si>
    <t>meso Alidya</t>
  </si>
  <si>
    <t>angeles García morales</t>
  </si>
  <si>
    <t xml:space="preserve">RELLENO DE LABIOS </t>
  </si>
  <si>
    <t>Alicia Pelaez mateu</t>
  </si>
  <si>
    <t>2ª sesión Morpheus muslos completos y glúteo (800)+ acp facial (200) + prohilo (400)</t>
  </si>
  <si>
    <t>MP CORP ACP PF</t>
  </si>
  <si>
    <t>Jennifer Sánchez Fernández</t>
  </si>
  <si>
    <t>1ª sesión Morpheus facial resurfacing</t>
  </si>
  <si>
    <t>MP RESURF</t>
  </si>
  <si>
    <t xml:space="preserve">Jibriel Danfa Darboe </t>
  </si>
  <si>
    <t>2ª sesión PRP capilar</t>
  </si>
  <si>
    <t>Paqui Marín Martín</t>
  </si>
  <si>
    <t xml:space="preserve">1 Radiesse + 1 DUO peribucal </t>
  </si>
  <si>
    <t>RADI DUO</t>
  </si>
  <si>
    <t>2ª sesión Morpheus interior de los muslos</t>
  </si>
  <si>
    <t xml:space="preserve">MP CORP </t>
  </si>
  <si>
    <t xml:space="preserve">María del Águila Martín Ruíz </t>
  </si>
  <si>
    <t xml:space="preserve">1ª sesión dermapen con exosomas </t>
  </si>
  <si>
    <t>Alejandro Rivas Fernández</t>
  </si>
  <si>
    <t>reserva cita</t>
  </si>
  <si>
    <t xml:space="preserve">Ingresa Dra Violeta 1500 en cuenta Dra. Violeta </t>
  </si>
  <si>
    <t>Silvia Luque Vargas</t>
  </si>
  <si>
    <t>Promo 2 duo (450) + Botox (300) (Debe 150)</t>
  </si>
  <si>
    <t>DUO BTX</t>
  </si>
  <si>
    <t>Tamara Martinez Martín</t>
  </si>
  <si>
    <t>Botox (350) (-50 de reserva)</t>
  </si>
  <si>
    <t>NUCE</t>
  </si>
  <si>
    <t>Relleno a.h glúteo</t>
  </si>
  <si>
    <t>A.H. CORP</t>
  </si>
  <si>
    <t>1 vial bótox en tercio superior</t>
  </si>
  <si>
    <t>Maria Luisa García Villegas</t>
  </si>
  <si>
    <t xml:space="preserve">1 vial Profhilo Estructura </t>
  </si>
  <si>
    <t>PFESTRUC</t>
  </si>
  <si>
    <t>Desbridamiento glúteo y muslo</t>
  </si>
  <si>
    <t>DESBRID</t>
  </si>
  <si>
    <t>Dra. --&gt; 1850</t>
  </si>
  <si>
    <t xml:space="preserve">Marta Delgado Gómez </t>
  </si>
  <si>
    <t>1ª sesión Morpheus abd + muslos completos</t>
  </si>
  <si>
    <t>Se ingresa 1750</t>
  </si>
  <si>
    <t>2 viales de DUO peribucal + reotque de bótox</t>
  </si>
  <si>
    <t>1 vial Bótox Azzalure (250)</t>
  </si>
  <si>
    <t>1 Vial bótox Bocouture (350) + 2 duo periocular (450)</t>
  </si>
  <si>
    <t>2ª vial de acp</t>
  </si>
  <si>
    <t xml:space="preserve">Maria José Godoy Salmerón </t>
  </si>
  <si>
    <t xml:space="preserve">1er vial de Duo pericbucal </t>
  </si>
  <si>
    <t>Cristina Atehortua Tapasco</t>
  </si>
  <si>
    <t xml:space="preserve">1 acp facial + 1 duo peribucal </t>
  </si>
  <si>
    <t xml:space="preserve">ACP DUO </t>
  </si>
  <si>
    <t>Rocío Castillo López</t>
  </si>
  <si>
    <t>1 viales de a.h. + 1 duo nasogeniano</t>
  </si>
  <si>
    <t>A.H. + DUO</t>
  </si>
  <si>
    <t xml:space="preserve">Natalia Zyalova </t>
  </si>
  <si>
    <t>Reserva blefa</t>
  </si>
  <si>
    <t>1er acp promo</t>
  </si>
  <si>
    <t xml:space="preserve">RESERVA DE LIPOTRANSFERENCIA FACIAL </t>
  </si>
  <si>
    <t xml:space="preserve"> Fernanda (Nandy) Clavero Criado</t>
  </si>
  <si>
    <t>Relleno de labios (350)</t>
  </si>
  <si>
    <t>AH LAB</t>
  </si>
  <si>
    <t>Susana Maldonado Nache</t>
  </si>
  <si>
    <t>botox</t>
  </si>
  <si>
    <t>Inmaculada López Nache</t>
  </si>
  <si>
    <t>Radiesse (400) + Botox (300) + Duo oreja (200)</t>
  </si>
  <si>
    <t>DUO RAD BTX</t>
  </si>
  <si>
    <t>Eva María Cabeo Criado</t>
  </si>
  <si>
    <t>Promo 3 sesiones ACP (600) (-50 de la reserva)</t>
  </si>
  <si>
    <t>ACP PROM</t>
  </si>
  <si>
    <t>Bodytite (1000) + faja (100)</t>
  </si>
  <si>
    <t xml:space="preserve">Sirio Lights S.L. Cuenta: </t>
  </si>
  <si>
    <t>Dra.VRR Cuenta: 1100</t>
  </si>
  <si>
    <t>Dra --&gt;  500</t>
  </si>
  <si>
    <t>María del Mar Peláez Andreu</t>
  </si>
  <si>
    <t xml:space="preserve">Promo 2 viales acp (600) - 1 vial </t>
  </si>
  <si>
    <t>Isabel Álvarez Moreno</t>
  </si>
  <si>
    <t xml:space="preserve">1a sesión de Morpheus facial + cuello </t>
  </si>
  <si>
    <t>MP 8</t>
  </si>
  <si>
    <t>10 sesión Adipozon en las rodillas</t>
  </si>
  <si>
    <t>Oliver Manrubia</t>
  </si>
  <si>
    <t>Reserva cita</t>
  </si>
  <si>
    <t>Gádor Sevilla Arévalo</t>
  </si>
  <si>
    <t>Promo de 3 viales de DUO (600)</t>
  </si>
  <si>
    <t>2ª sesión Moroheus facial cuello (500) + 2 viales hiperhidrosis (500) + ps (35)</t>
  </si>
  <si>
    <t>MP FAC + BTX</t>
  </si>
  <si>
    <t>Retoque de Bótox (fin) + a.h.(fin) + 1 VIAL DUO (250)</t>
  </si>
  <si>
    <t xml:space="preserve">Jose fortes Leal </t>
  </si>
  <si>
    <t>1 ° botox en efectivo</t>
  </si>
  <si>
    <t>Barbara Ruiz delgado</t>
  </si>
  <si>
    <t>Promo 2 viales de ACP</t>
  </si>
  <si>
    <t>Sonia Sánchez Cabrera</t>
  </si>
  <si>
    <t>Alydia piernas</t>
  </si>
  <si>
    <t>Gema Bonilla Rubio</t>
  </si>
  <si>
    <t>1ª sesión Alydia Piernas (Caja completa)</t>
  </si>
  <si>
    <t>Eva Vargas González</t>
  </si>
  <si>
    <t>BOTOX Azzalure</t>
  </si>
  <si>
    <t>30/04/0202</t>
  </si>
  <si>
    <t>Trini Ortega Conde</t>
  </si>
  <si>
    <t>1ª sesión Morpheus resurfacing abdomen + interior de los muslos + oblicuos</t>
  </si>
  <si>
    <t>Alicia Orihuela Cozar</t>
  </si>
  <si>
    <t>2º DUO peribucal</t>
  </si>
  <si>
    <t>Raquel Manzano Bedmar</t>
  </si>
  <si>
    <t xml:space="preserve">desbridamiento cicatriz </t>
  </si>
  <si>
    <t>Oliver Manrrubia Aguilera</t>
  </si>
  <si>
    <t>2 viales de DUO (450) + 3 acp (600)</t>
  </si>
  <si>
    <t>2 DUO 3 ACP</t>
  </si>
  <si>
    <t>Antonia Rubio Pedrosa</t>
  </si>
  <si>
    <t>1ª ses PRP facial (200) (-50 de la reserva)</t>
  </si>
  <si>
    <t>Jennifer Sánchez</t>
  </si>
  <si>
    <t xml:space="preserve">1ª sesión Dermapen facial </t>
  </si>
  <si>
    <t>DP FAC</t>
  </si>
  <si>
    <t>Jose Manuel Enriuez Alarcón</t>
  </si>
  <si>
    <t>1 vial Botox (-50€ reserva Sara) (300)</t>
  </si>
  <si>
    <t>Carolina Nájera Suárez</t>
  </si>
  <si>
    <t>Ingreso 2000</t>
  </si>
  <si>
    <t>Mayo</t>
  </si>
  <si>
    <t>Total mensual</t>
  </si>
  <si>
    <t>Efe mensual</t>
  </si>
  <si>
    <t>Tarjeta mensual</t>
  </si>
  <si>
    <t>transferencia</t>
  </si>
  <si>
    <t>Antonia Ruiz Pedrosa</t>
  </si>
  <si>
    <t>relleno de grasa pecho (2000) + faja (100)</t>
  </si>
  <si>
    <t>LIPOTRA PECH</t>
  </si>
  <si>
    <t>Ingr. Sirio. 2100</t>
  </si>
  <si>
    <t>Maria Piedad Bacas Salinas</t>
  </si>
  <si>
    <t>Bótox vistabel</t>
  </si>
  <si>
    <t>2º vial acp (225)</t>
  </si>
  <si>
    <t>2ª sesión Morpheus resurfacing + crem exo</t>
  </si>
  <si>
    <t>MP RESURF + crem exo</t>
  </si>
  <si>
    <t>ACP FACIAL (225) + Retoque de bótox</t>
  </si>
  <si>
    <t xml:space="preserve">ACP facial </t>
  </si>
  <si>
    <t>Paco Callejón Sánchez</t>
  </si>
  <si>
    <t>Rinomodelación (350) + profhilo estructura (400)</t>
  </si>
  <si>
    <t>RINO PFESTRUC</t>
  </si>
  <si>
    <t>Dermapen facial (-50 periocular)</t>
  </si>
  <si>
    <t>Eva Martos Martin</t>
  </si>
  <si>
    <t>RELLENO DE LABIOS</t>
  </si>
  <si>
    <t>2ª sesión Dermapen + peeling de exosomas</t>
  </si>
  <si>
    <t>Jennifer Amo Escobar</t>
  </si>
  <si>
    <t xml:space="preserve">1ª sesión plasma capilar </t>
  </si>
  <si>
    <t>Paciente indeterminada Dr. Mez</t>
  </si>
  <si>
    <t>Sobre de ergyflex</t>
  </si>
  <si>
    <t>ERGYFLEX</t>
  </si>
  <si>
    <t>Ingr. Sirio 750</t>
  </si>
  <si>
    <t>Muslos completos (-50 euros por mitad de abdomen no realizado de la sesión anterior)</t>
  </si>
  <si>
    <t>MP MUSL</t>
  </si>
  <si>
    <t>NATALIA PEROKOFIRA</t>
  </si>
  <si>
    <t>Blefaroplastia superior (1500)+ Duo periocular (200)</t>
  </si>
  <si>
    <t>2º ACP  Facial</t>
  </si>
  <si>
    <t xml:space="preserve"> Cirujano</t>
  </si>
  <si>
    <t>1 blefaroplastia</t>
  </si>
  <si>
    <t>BLEFA</t>
  </si>
  <si>
    <t>David Navarro Salmerón</t>
  </si>
  <si>
    <t>Eliminación de verrugas plexr</t>
  </si>
  <si>
    <t>PLXR</t>
  </si>
  <si>
    <t>María López Peña</t>
  </si>
  <si>
    <t>5ª SESIÓN DE ADIPOZON ABD</t>
  </si>
  <si>
    <t xml:space="preserve">2ª Sesión dermapen facial </t>
  </si>
  <si>
    <t>Eva María Cabeo García</t>
  </si>
  <si>
    <t>crema de exosomas (100) + crema ibsa (50)</t>
  </si>
  <si>
    <t>CREM</t>
  </si>
  <si>
    <t>1ª sesión Morpheus Abdomen completo</t>
  </si>
  <si>
    <t>Alba Luque Sánchez</t>
  </si>
  <si>
    <t xml:space="preserve">Carmen Martín Martín </t>
  </si>
  <si>
    <t>2 Duos peribucales</t>
  </si>
  <si>
    <t>Mari Carmen García Martín</t>
  </si>
  <si>
    <t>2 acp</t>
  </si>
  <si>
    <t>Cristina Cabeo Céspedes</t>
  </si>
  <si>
    <t>DUO oreja</t>
  </si>
  <si>
    <t>PF ESTRUCTURA (400) + pf face (400) + acp 200</t>
  </si>
  <si>
    <t>PF EST PF FSC ACP</t>
  </si>
  <si>
    <t>Desbridamiento fibrosis glúteo</t>
  </si>
  <si>
    <t>SUBCIS</t>
  </si>
  <si>
    <t>Arsenio Rovira Vargas</t>
  </si>
  <si>
    <t>Reserva nanofat capilar + prp</t>
  </si>
  <si>
    <t>RSV</t>
  </si>
  <si>
    <t>Dermapen con exosomas</t>
  </si>
  <si>
    <t>3ª sesisón MP (150) + 1 vial Alydia (50)</t>
  </si>
  <si>
    <t>MP Aly</t>
  </si>
  <si>
    <t>2º VIAL ACP</t>
  </si>
  <si>
    <t>Rocío Mateo Lirola</t>
  </si>
  <si>
    <t>1 vial ah corp. (300) + Profhilo Estructura (450)</t>
  </si>
  <si>
    <t>FILLZON PFESTRUC</t>
  </si>
  <si>
    <t>Jennifer Mendoza Díaz</t>
  </si>
  <si>
    <t>Dra: 200€ efe</t>
  </si>
  <si>
    <t>Maria Teresa Moreno Barbero</t>
  </si>
  <si>
    <t>Rosa Villegas Casanova</t>
  </si>
  <si>
    <t>Maribel Arroyo Moragas</t>
  </si>
  <si>
    <t>lipotransferencia de grasa facial y nanofat + liposucción de interior de los muslos</t>
  </si>
  <si>
    <t>LT FAC + NANOFAT</t>
  </si>
  <si>
    <t>3ª sesión Morpheus facial y cuello + plexr</t>
  </si>
  <si>
    <t xml:space="preserve">3ª acp facial </t>
  </si>
  <si>
    <t>Estefanía Castillo Mayor</t>
  </si>
  <si>
    <t>PLEXR VERRUGAS</t>
  </si>
  <si>
    <t xml:space="preserve"> Paco Callejón Sánchez</t>
  </si>
  <si>
    <t>Azzalure bótox</t>
  </si>
  <si>
    <t>Mireilla Barbero Lara</t>
  </si>
  <si>
    <t>1er profhilo estructura</t>
  </si>
  <si>
    <t>PF ESTRUC</t>
  </si>
  <si>
    <t>Jose Saveedra Maleno</t>
  </si>
  <si>
    <t>Bocouture 1 vial</t>
  </si>
  <si>
    <t>Nicolás Rodríguez Robles</t>
  </si>
  <si>
    <t>1 duo peribucal + 1 vial a.h en pómulo</t>
  </si>
  <si>
    <t>DUO AH</t>
  </si>
  <si>
    <t>15 EN VUELTAS</t>
  </si>
  <si>
    <t>ACP (225) + deep slim (0)</t>
  </si>
  <si>
    <t>Desbridamiento (100) + 1 vial acp )</t>
  </si>
  <si>
    <t xml:space="preserve">María del Carmen Domene Torreblanca </t>
  </si>
  <si>
    <t>1 vial Proghilo estructura (450) + 1 vial acp</t>
  </si>
  <si>
    <t>PF ESTRUCT ACP</t>
  </si>
  <si>
    <t>1 vial duo labios</t>
  </si>
  <si>
    <t>Yolanda María Fernández Heredia</t>
  </si>
  <si>
    <t xml:space="preserve">1 VIAL DE RADIESSE </t>
  </si>
  <si>
    <t>2 viales de acp (450) + dermapen (50)</t>
  </si>
  <si>
    <t>ACP DP FAC</t>
  </si>
  <si>
    <t>relleno de labios</t>
  </si>
  <si>
    <t>bótox</t>
  </si>
  <si>
    <t xml:space="preserve"> Marisol Navarro Ramírez</t>
  </si>
  <si>
    <t>sesión Adipozon en rodillas</t>
  </si>
  <si>
    <t xml:space="preserve">Sobre Dra--&gt; 2350€ efe </t>
  </si>
  <si>
    <t>Carmen Rodríguez Sáez</t>
  </si>
  <si>
    <t xml:space="preserve"> 1 vial adipozon</t>
  </si>
  <si>
    <t>María del Mar Espinosa Fernández</t>
  </si>
  <si>
    <t xml:space="preserve">1 vial duo peribucal </t>
  </si>
  <si>
    <t xml:space="preserve">DUO </t>
  </si>
  <si>
    <t>NYC</t>
  </si>
  <si>
    <t>Botox</t>
  </si>
  <si>
    <t>Francisca Tapia Muñoz</t>
  </si>
  <si>
    <t>plwxr verrugas en cuello pecho, espalda y abdomen</t>
  </si>
  <si>
    <t xml:space="preserve">Adriana Martín </t>
  </si>
  <si>
    <t xml:space="preserve">ergycell </t>
  </si>
  <si>
    <t>ERGYCELL</t>
  </si>
  <si>
    <t>María Sánchez Alcalde</t>
  </si>
  <si>
    <t>1a sesión deep slim cicatrices del pecho</t>
  </si>
  <si>
    <t>MIRIAM LARECH</t>
  </si>
  <si>
    <t>1 kit profhilo body</t>
  </si>
  <si>
    <t>PFBODY</t>
  </si>
  <si>
    <t>1 vial profhilo estructura (450) + 1 vial botox (300) + hialurodinasa (gratis)</t>
  </si>
  <si>
    <t xml:space="preserve">PF ESTR BTX </t>
  </si>
  <si>
    <t>1 vial estructura (450)</t>
  </si>
  <si>
    <t>SOFIA PADILLA DEL CAMPO</t>
  </si>
  <si>
    <t xml:space="preserve">1 duo peribucal </t>
  </si>
  <si>
    <t>Virginia Alegre Solana</t>
  </si>
  <si>
    <t xml:space="preserve">Plexr en queloirde (50) + acp (250) + profhilo facial </t>
  </si>
  <si>
    <t>PLXR ACP PFFACIAL</t>
  </si>
  <si>
    <t xml:space="preserve">Gema Bonilla Rubio </t>
  </si>
  <si>
    <t>Morpheus rostro y cuello(400) + 2 viales Adipo</t>
  </si>
  <si>
    <t>MP FACCUE ADIPO</t>
  </si>
  <si>
    <t>deep slim facial cicatriz</t>
  </si>
  <si>
    <t>Deep Slim cfibrosis desbridamiento glúteo</t>
  </si>
  <si>
    <t xml:space="preserve">CARMEN FERNÁNDEZ VARGAS </t>
  </si>
  <si>
    <t>Bótox(300) + duo peribucal (300)</t>
  </si>
  <si>
    <t>BTX DUO</t>
  </si>
  <si>
    <t xml:space="preserve">reserva de bodytite + lipofilling facial </t>
  </si>
  <si>
    <t>Ana Yedra López</t>
  </si>
  <si>
    <t xml:space="preserve">reserva lipofilling + nanofat facial </t>
  </si>
  <si>
    <t xml:space="preserve">Junio </t>
  </si>
  <si>
    <t>1 vial toxina botulínica</t>
  </si>
  <si>
    <t>Gema López Picón</t>
  </si>
  <si>
    <t>1 vial de Alidya en Muslos + interior de los muslos +  mollete de las rodillas</t>
  </si>
  <si>
    <t xml:space="preserve">Jennifer Mendoza Díaz </t>
  </si>
  <si>
    <t>2ª sesión de adipozón en rollitos del sujetador</t>
  </si>
  <si>
    <t>2ª sesión deep Slim cicatriz del rostro</t>
  </si>
  <si>
    <t>DS FAC</t>
  </si>
  <si>
    <t xml:space="preserve">2ª sesión deep slim cicatriz pecho </t>
  </si>
  <si>
    <t>DS PECH</t>
  </si>
  <si>
    <t xml:space="preserve">3ª sesión exosomas capilares </t>
  </si>
  <si>
    <t>1 duo (200) + 1 acp (200) + dermapen (100)</t>
  </si>
  <si>
    <t>DUO ACP DP OCU</t>
  </si>
  <si>
    <t>Victoria Carrascosa Alonso</t>
  </si>
  <si>
    <t>1 profhilo estructura</t>
  </si>
  <si>
    <t>subcisión cicatriz nariz (300) + acp (queda prodcuto)</t>
  </si>
  <si>
    <t>SUBCI ACP</t>
  </si>
  <si>
    <t>2º acp subcisión fibrosis glúteo (200) + deep slim (20)</t>
  </si>
  <si>
    <t>ACP DS</t>
  </si>
  <si>
    <t>Retoque + 1 vial de Duo periocular (200)</t>
  </si>
  <si>
    <t>1 vial duo periocular</t>
  </si>
  <si>
    <t xml:space="preserve">Radiesse </t>
  </si>
  <si>
    <t>Teresa Jordan Madrid</t>
  </si>
  <si>
    <t>1 vial Duo tercio inferior (200) + profhilo Estructura 370</t>
  </si>
  <si>
    <t>DUO PFESTRUCT</t>
  </si>
  <si>
    <t xml:space="preserve"> Arsenio Rovira Vargas </t>
  </si>
  <si>
    <t>2ª pago nanofat (450) + plasma (0)</t>
  </si>
  <si>
    <t>NF CAP</t>
  </si>
  <si>
    <t xml:space="preserve">Bótox Azzalure </t>
  </si>
  <si>
    <t>Cristina alcazar Gutiérrez</t>
  </si>
  <si>
    <t>1 vial Adipozon en costilla</t>
  </si>
  <si>
    <t>Jenifer Amo Escobar</t>
  </si>
  <si>
    <t>1ª sesión exosomas capilares</t>
  </si>
  <si>
    <t>1 duo peribucal</t>
  </si>
  <si>
    <t>Total EJ + NYC</t>
  </si>
  <si>
    <t>Rosa García Casademut</t>
  </si>
  <si>
    <t xml:space="preserve">3ª sesion acp facial </t>
  </si>
  <si>
    <t>Deep Slim cicatrix operación de pecho</t>
  </si>
  <si>
    <t>Marina Casado Parrilla</t>
  </si>
  <si>
    <t xml:space="preserve">DUO peribucal + 1 vial a.h </t>
  </si>
  <si>
    <t>DUO 1A.H.</t>
  </si>
  <si>
    <t xml:space="preserve">Ana Guzmán de Quero </t>
  </si>
  <si>
    <t xml:space="preserve">2 duos peribucales </t>
  </si>
  <si>
    <t>2 protectores Solares (80) + 1 crema de exosomas (100) + 1 reserva de relleno de labios (280)</t>
  </si>
  <si>
    <t>PSBMED EXOCREM RSRV</t>
  </si>
  <si>
    <t>1 vial Duo labios (200)</t>
  </si>
  <si>
    <t>2 duos peribucales</t>
  </si>
  <si>
    <t>desbridamiento (150) + 1 acp (200)</t>
  </si>
  <si>
    <t xml:space="preserve">DSBR ACP </t>
  </si>
  <si>
    <t xml:space="preserve">Trinidad Romero Figueroa </t>
  </si>
  <si>
    <t>2 Viales duo (200€/VIAL)</t>
  </si>
  <si>
    <t>1 VIAL ACP + 1 VIAL DUO</t>
  </si>
  <si>
    <t>DUO ACP</t>
  </si>
  <si>
    <t>2ª Sesión Morpheus resurfacing abdomen + muslos + int muslos</t>
  </si>
  <si>
    <t>María José Villegas Cara</t>
  </si>
  <si>
    <t>ergycell 35</t>
  </si>
  <si>
    <t>ERGY</t>
  </si>
  <si>
    <t>3er vial adipozon</t>
  </si>
  <si>
    <t xml:space="preserve">4ª sesión deep slim </t>
  </si>
  <si>
    <t>Claudia Smith</t>
  </si>
  <si>
    <t xml:space="preserve">econes Facial </t>
  </si>
  <si>
    <t>ECONES</t>
  </si>
  <si>
    <t>Lola Tortosa rodriguez</t>
  </si>
  <si>
    <t>1340.  VRR</t>
  </si>
  <si>
    <t xml:space="preserve">4 vial adipozon </t>
  </si>
  <si>
    <t>1 vial bótox vistabel (320)</t>
  </si>
  <si>
    <t>Oscar Maldonado Godoy.</t>
  </si>
  <si>
    <t>reserva cita VRR</t>
  </si>
  <si>
    <t xml:space="preserve">Claudia Smith </t>
  </si>
  <si>
    <t xml:space="preserve">1 vial hialurodinasa </t>
  </si>
  <si>
    <t>HIALUR</t>
  </si>
  <si>
    <t xml:space="preserve"> Paco Callejón Sánchez </t>
  </si>
  <si>
    <t>1 vial DUO periocular</t>
  </si>
  <si>
    <t>Aicha BAHAMMI</t>
  </si>
  <si>
    <t>1 vial acp + revisión de subcisión cicatriz nariz</t>
  </si>
  <si>
    <t xml:space="preserve">BOTOX </t>
  </si>
  <si>
    <t xml:space="preserve">2º vial Profhilo estructura </t>
  </si>
  <si>
    <t>PF STRUCT</t>
  </si>
  <si>
    <t xml:space="preserve">2 vial profhilo estructura + 2º vial acp </t>
  </si>
  <si>
    <t>DUO PF</t>
  </si>
  <si>
    <t>1 vial Duo periocular</t>
  </si>
  <si>
    <t xml:space="preserve">Soraya Urrutia Cazorla </t>
  </si>
  <si>
    <t>1 vial DUO PERIOCULAR</t>
  </si>
  <si>
    <t>Gemma López García</t>
  </si>
  <si>
    <t>BONO ACP (3 VIALES)</t>
  </si>
  <si>
    <t>Mari Carmen Córdoba Lavesa</t>
  </si>
  <si>
    <t>1 vial de DUO</t>
  </si>
  <si>
    <t>Jose María Castellano Ferrer</t>
  </si>
  <si>
    <t>1 vial bótox bocouture tercio superior</t>
  </si>
  <si>
    <t>2º pago bodytite abdomen + lipofilling facial + nanofat</t>
  </si>
  <si>
    <t>BT ABD LF FACCUE</t>
  </si>
  <si>
    <t xml:space="preserve">2ª vial Profhilo estructura </t>
  </si>
  <si>
    <t>2º vial Profhilo estructura</t>
  </si>
  <si>
    <t>2º Pago nanofat capilar</t>
  </si>
  <si>
    <t>NANOFAT CAPILAR</t>
  </si>
  <si>
    <t>2000 Dra</t>
  </si>
  <si>
    <t>Ana Belén Morillas</t>
  </si>
  <si>
    <t>reserva tto a.h. glúteos</t>
  </si>
  <si>
    <t>A.H. GLUT</t>
  </si>
  <si>
    <t>2ª sesión Adipozon (1 vial)</t>
  </si>
  <si>
    <t xml:space="preserve">Gemma Bonilla Rubio </t>
  </si>
  <si>
    <t>Profesora de Baile de la Dra</t>
  </si>
  <si>
    <t>2º profhilo face (precio de costo)</t>
  </si>
  <si>
    <t>PF FACE</t>
  </si>
  <si>
    <t xml:space="preserve">Araceli Romero Figueroa </t>
  </si>
  <si>
    <t>botox (bocouture) (300) - 650 a cuenta</t>
  </si>
  <si>
    <t>Sonia Belmonte Viguera</t>
  </si>
  <si>
    <t xml:space="preserve">botox (bocouture) (300) </t>
  </si>
  <si>
    <t>2 ACP en cuello (200€/vial)</t>
  </si>
  <si>
    <t xml:space="preserve">3er Desbridamiento (150) + duo </t>
  </si>
  <si>
    <t xml:space="preserve">2º DUO Peribucal </t>
  </si>
  <si>
    <t xml:space="preserve">950€ Dra. </t>
  </si>
  <si>
    <t>Ana Guzmán de Quero</t>
  </si>
  <si>
    <t>bono acp 3 viales (600)</t>
  </si>
  <si>
    <t xml:space="preserve">ACP </t>
  </si>
  <si>
    <t>BONO ACP 3 VIALES (600)</t>
  </si>
  <si>
    <t>3500 EFE DRA</t>
  </si>
  <si>
    <t>ACP facial</t>
  </si>
  <si>
    <t>1 VIAL DE ADIPOZON</t>
  </si>
  <si>
    <t>Carmen Sánchez Vargas</t>
  </si>
  <si>
    <t>1 vial teoxane ultradeep +2 vial duo peribucal (bono 3 600)</t>
  </si>
  <si>
    <t>1 A.H. DUO</t>
  </si>
  <si>
    <t>Mari Carmen González</t>
  </si>
  <si>
    <t xml:space="preserve">Promo 3 acp  facial </t>
  </si>
  <si>
    <t xml:space="preserve">4 SESIÓN DEEP SLIM </t>
  </si>
  <si>
    <t>1 vial adipoz rodillas</t>
  </si>
  <si>
    <t>Infiltracion de hialurodinasa</t>
  </si>
  <si>
    <t>HIALU</t>
  </si>
  <si>
    <t xml:space="preserve">Julio </t>
  </si>
  <si>
    <t>2 duos peribucales (450) + profhilo estructura (450)</t>
  </si>
  <si>
    <t>DUO PFESTRUC</t>
  </si>
  <si>
    <t>EXOSOMAS CAPILARES DERMAPEN</t>
  </si>
  <si>
    <t>EXO CAP DP</t>
  </si>
  <si>
    <t xml:space="preserve">Ana Portillo Portillo </t>
  </si>
  <si>
    <t xml:space="preserve"> 1 profhilo body kit (800) + Profhilo Estructura (450)</t>
  </si>
  <si>
    <t>PFKIT PFESTRUCTURA</t>
  </si>
  <si>
    <t>1ª sesión Morpheus planta de los pies</t>
  </si>
  <si>
    <t>MP SUDORACIÓN</t>
  </si>
  <si>
    <t>Oscar Maldonado Godoy</t>
  </si>
  <si>
    <t>1ª sesión Morpheus pie izquierdo - hiperhidrosis (-50 RESERVA)</t>
  </si>
  <si>
    <t>MP HIPO</t>
  </si>
  <si>
    <t>Juan Jesús Alonso Idañez</t>
  </si>
  <si>
    <t>1 VIAL RADIESSE</t>
  </si>
  <si>
    <t>María José Fernández Enrique</t>
  </si>
  <si>
    <t>Rosa</t>
  </si>
  <si>
    <t>1 vial relleno de labios (Fidia)</t>
  </si>
  <si>
    <t>1 vial DUO (250) + 1VIAL A.H. POMULOS (350)</t>
  </si>
  <si>
    <t>1 DUO 1 AH</t>
  </si>
  <si>
    <t>Araceli Romero Figueroa</t>
  </si>
  <si>
    <t>profhilo body cuello (800) + profhilo face (370) + acp facial (200)</t>
  </si>
  <si>
    <t>PFBOD PDSTRUCT ACP</t>
  </si>
  <si>
    <t>2ª ses 1 profhilo estructura (370) + 1 ACP (200) + 1 duo (200)</t>
  </si>
  <si>
    <t>PFESTRUC 1ACP 1DUO</t>
  </si>
  <si>
    <t xml:space="preserve">Virginia Alegre Solana </t>
  </si>
  <si>
    <t>Duo cicatriz (80) + profhilo estructura (450)</t>
  </si>
  <si>
    <t>DUO PRSTRUCT</t>
  </si>
  <si>
    <t>Loli Martín Soto</t>
  </si>
  <si>
    <t>1 pf estructura (450) + 1 duo peribucal (250) (Debe 350)</t>
  </si>
  <si>
    <t>Duo PRSTRUCT</t>
  </si>
  <si>
    <t>Mari Ángeles García Morales</t>
  </si>
  <si>
    <t>1 botox nuceiva (350) + 1 vial a.h. labios (300)</t>
  </si>
  <si>
    <t>BTX 1AH</t>
  </si>
  <si>
    <t>Yuridia Arita Fuentes</t>
  </si>
  <si>
    <t>exosomas + dermapen (250)</t>
  </si>
  <si>
    <t>EXO DP</t>
  </si>
  <si>
    <t>María del Mar Caba Vila</t>
  </si>
  <si>
    <t>2 viales a.h. marcación mandibular (600)</t>
  </si>
  <si>
    <t>2 AH</t>
  </si>
  <si>
    <t>1ª SESIÓN DEEP SLIM HOMBRO</t>
  </si>
  <si>
    <t>Lucia Molina Villegas</t>
  </si>
  <si>
    <t xml:space="preserve">botox bruxismo </t>
  </si>
  <si>
    <t>Carmen Rodríguez Saez</t>
  </si>
  <si>
    <t>6º vial de adipozon</t>
  </si>
  <si>
    <t>980 EFE DRA</t>
  </si>
  <si>
    <t>Isabel Felices</t>
  </si>
  <si>
    <t>econes</t>
  </si>
  <si>
    <t>ECO</t>
  </si>
  <si>
    <t>Lidia Silverio Rodríguez</t>
  </si>
  <si>
    <t>Protocolo 3 viales  ACP (600)</t>
  </si>
  <si>
    <t>3ER VIAL ACP (225)</t>
  </si>
  <si>
    <t xml:space="preserve"> Teresa Sevilla Hernández Moral</t>
  </si>
  <si>
    <t>Bótox (azzalure)</t>
  </si>
  <si>
    <t xml:space="preserve">Lola Pérez Antequera </t>
  </si>
  <si>
    <t>1a sesión Profhilo structura</t>
  </si>
  <si>
    <t>VICTOR PEREZ OLIVENCIA</t>
  </si>
  <si>
    <t>1ª sesión PRP capilar (200) + dermapen (50)</t>
  </si>
  <si>
    <t>Maria Jesús Capilla Pérez</t>
  </si>
  <si>
    <t>1ª sesión Forma + deep slim dedo corazon (50) + Reserva facetite (600)</t>
  </si>
  <si>
    <t>DS FORM RSRV</t>
  </si>
  <si>
    <t>870 EFE DRA</t>
  </si>
  <si>
    <t>2º vial structura (450) + 2 viales DUO peribucal (200€vial)</t>
  </si>
  <si>
    <t>PF STRUCT 2DUO</t>
  </si>
  <si>
    <t>7ª sesión de Adipozon</t>
  </si>
  <si>
    <t xml:space="preserve">1 vial a.h. pómulo </t>
  </si>
  <si>
    <t xml:space="preserve">A.H. </t>
  </si>
  <si>
    <t>María Angustias Ramos Campos</t>
  </si>
  <si>
    <t>1 vial a.h. rinomodelación</t>
  </si>
  <si>
    <t>RINO</t>
  </si>
  <si>
    <t xml:space="preserve">2 duo peribucal </t>
  </si>
  <si>
    <t>2 DUO</t>
  </si>
  <si>
    <t>Desbridamiento (150) + duo (200)</t>
  </si>
  <si>
    <t>DSBRD DUO</t>
  </si>
  <si>
    <t>10 sesión Adipozon en rodillas (100)</t>
  </si>
  <si>
    <t>2ª sesión Morpheus8 hiperhidrosis (500)</t>
  </si>
  <si>
    <t>MP HH</t>
  </si>
  <si>
    <t>2 DUOs (200) Peribucales</t>
  </si>
  <si>
    <t>2DUO</t>
  </si>
  <si>
    <t>María Isabel Escoriza</t>
  </si>
  <si>
    <t>1 Profhilo structura (450) + Bótox (250)</t>
  </si>
  <si>
    <t>PF STRUCT BTX</t>
  </si>
  <si>
    <t>Laura Olivares Zaldivar</t>
  </si>
  <si>
    <t xml:space="preserve">1 Profhilo structura (450) </t>
  </si>
  <si>
    <t>Isabel Felices Juarez</t>
  </si>
  <si>
    <t>Reserva lipofilling facial + nanofat (cara y cuello)</t>
  </si>
  <si>
    <t xml:space="preserve"> Isabel Felices Juarez </t>
  </si>
  <si>
    <t>Lipofilling facial + nanofat en cara y cuello + CREMA MORADOS</t>
  </si>
  <si>
    <t>NF LF cr</t>
  </si>
  <si>
    <t>Noemí Trillo Esquinas</t>
  </si>
  <si>
    <t>relleno de Teoxane (420) + Crema de exsomas (50)</t>
  </si>
  <si>
    <t>1 AHOJ + CR</t>
  </si>
  <si>
    <t>Crema protección solar (45) + Crema hidratante ibsa (50)</t>
  </si>
  <si>
    <t>CR</t>
  </si>
  <si>
    <t>Tahiri Maldonado Romera</t>
  </si>
  <si>
    <t>econes (50)</t>
  </si>
  <si>
    <t>Isabel Felices Juárez</t>
  </si>
  <si>
    <t xml:space="preserve">deep slim </t>
  </si>
  <si>
    <t>2ª sesión exosomas capilares  + dermapen</t>
  </si>
  <si>
    <t>LOLI MARTIN SOTO</t>
  </si>
  <si>
    <t xml:space="preserve">2º PROFHILO Structura + 2º duo </t>
  </si>
  <si>
    <t>PF STRUCT DUO</t>
  </si>
  <si>
    <t>Elisabeth Amo Escobar</t>
  </si>
  <si>
    <t>1 profhilo face (450) + 1 acp (250)</t>
  </si>
  <si>
    <t>PF FACE  ACP</t>
  </si>
  <si>
    <t>Marta Gómez Pérez</t>
  </si>
  <si>
    <t xml:space="preserve">1 vial Profhilo structura + 1 vial acp </t>
  </si>
  <si>
    <t>Marciana de las Nieves Pérez Pujazón</t>
  </si>
  <si>
    <t>1 vial DUO</t>
  </si>
  <si>
    <t>Profhilo structura (450) + DUO (250) + ACP (ab.) + Profhilo body (ab.)</t>
  </si>
  <si>
    <t>PFSTRUCT DUO ACP PFBOD</t>
  </si>
  <si>
    <t xml:space="preserve">1 PROFHILO KIT (800) + PF STRUCT (450) </t>
  </si>
  <si>
    <t>PFBOD PFSTRUCT</t>
  </si>
  <si>
    <t xml:space="preserve"> Araceli Romero Figueroa</t>
  </si>
  <si>
    <t>2º Profhilo body (Ab.) + Profhilo structura (370) + 2º ACP fac (200) + 120 deuda</t>
  </si>
  <si>
    <t>PF STRUCT  ACP</t>
  </si>
  <si>
    <t xml:space="preserve">Mari Carmen García Martín </t>
  </si>
  <si>
    <t>2ACP cuello (400)</t>
  </si>
  <si>
    <t>2ACP</t>
  </si>
  <si>
    <t>2ª sesión Forma + 2ª sesión Deep slim falange dedo corazón</t>
  </si>
  <si>
    <t>FR DS</t>
  </si>
  <si>
    <t xml:space="preserve"> Dra. 4000</t>
  </si>
  <si>
    <t>Septiembre</t>
  </si>
  <si>
    <t xml:space="preserve">
Elisabeth Amo Escobar</t>
  </si>
  <si>
    <t xml:space="preserve">1 profhilo structura (450) + 1 acp (250) </t>
  </si>
  <si>
    <t>1 PFSTRUCT</t>
  </si>
  <si>
    <t>Lucía Ayala González</t>
  </si>
  <si>
    <t>1 econes (50) + Botox (320)</t>
  </si>
  <si>
    <t>ECO  BTX</t>
  </si>
  <si>
    <t>3ª sesión MP8 estrías</t>
  </si>
  <si>
    <t>Ana Belén Romera Jódar</t>
  </si>
  <si>
    <t>1er Profhilo structura (350)</t>
  </si>
  <si>
    <t>Guacimara Bautista Murillo</t>
  </si>
  <si>
    <t>Bótox hiperhidrosis (1 vial)</t>
  </si>
  <si>
    <t>BTXHIDRO</t>
  </si>
  <si>
    <t>Sara Hernández Cara</t>
  </si>
  <si>
    <t>ADELANTO TTO PRP capilar</t>
  </si>
  <si>
    <t>PRPCAP</t>
  </si>
  <si>
    <t>duo peribucal (250) + acp facial (ya abonado) + Ergycell (35)+ Ergyflex (40)</t>
  </si>
  <si>
    <t>DUO ACP ERGFL ERGCEL</t>
  </si>
  <si>
    <t>Iván Puga Puga</t>
  </si>
  <si>
    <t>Plexr lesiones benignas (10)</t>
  </si>
  <si>
    <t>-200 de sobre de 1600</t>
  </si>
  <si>
    <t>500 efe Dra</t>
  </si>
  <si>
    <t xml:space="preserve">
María José Fernández Enrique</t>
  </si>
  <si>
    <t>PEELING EXOSOMAS y DERMAPEN + crema hidratante Ibsa(40)</t>
  </si>
  <si>
    <t>PEEL EXO DP CREM</t>
  </si>
  <si>
    <t>Carmen Griñán Soria</t>
  </si>
  <si>
    <t>Dermapen con exosomas capilares</t>
  </si>
  <si>
    <t>DPEXO</t>
  </si>
  <si>
    <t>Teresa Jordán Madrid</t>
  </si>
  <si>
    <t xml:space="preserve">3ª sesión acp </t>
  </si>
  <si>
    <t>retoque bótox + profhilo estructura(450) + duo (250)</t>
  </si>
  <si>
    <t>peeling exosomas contorno de ojos</t>
  </si>
  <si>
    <t>Nabila FAOUZI</t>
  </si>
  <si>
    <t>1a sesión tratamiento de marcas de acné -50€reserva --&gt; 100</t>
  </si>
  <si>
    <t xml:space="preserve">DP </t>
  </si>
  <si>
    <t>2ª SESIÓN EXOSOMAS CAPILARES (300)</t>
  </si>
  <si>
    <t>EXOCAP</t>
  </si>
  <si>
    <t>1ª SESIÓN PRP DEDO CORAZÓN  (280)+ Bótox (320)</t>
  </si>
  <si>
    <t xml:space="preserve">PRP </t>
  </si>
  <si>
    <t xml:space="preserve">2ª sesión PF Structura (450) + 2º DUO (225) </t>
  </si>
  <si>
    <t>PF STRUCT + DUO</t>
  </si>
  <si>
    <t>Ana Portillo Portillo</t>
  </si>
  <si>
    <t>2º VIAL A.H PÓMULO (320)</t>
  </si>
  <si>
    <t>1AH</t>
  </si>
  <si>
    <t>2ª sesión PRP + Dermapen (250)</t>
  </si>
  <si>
    <t>PRPDPCAP</t>
  </si>
  <si>
    <t>Infiltración hialurodinasa labio (120)</t>
  </si>
  <si>
    <t xml:space="preserve">Sara Hernández Cara </t>
  </si>
  <si>
    <t xml:space="preserve">PRP cap. + dermapen (Pagó 200 por adelantado) </t>
  </si>
  <si>
    <t>1 DUO</t>
  </si>
  <si>
    <t xml:space="preserve">duo </t>
  </si>
  <si>
    <t xml:space="preserve">3ª sesión MP8 hiperehidrosis </t>
  </si>
  <si>
    <t>MP8 HIPER</t>
  </si>
  <si>
    <t>FARAH KETOUATI</t>
  </si>
  <si>
    <t>1ª sesión Morpheus 8 adiposidad axilas</t>
  </si>
  <si>
    <t>MP8CORP</t>
  </si>
  <si>
    <t>Maria del Carmen Maturana Maldonado</t>
  </si>
  <si>
    <t>1 vial DUO en labios</t>
  </si>
  <si>
    <t>DUO peribucal con canúlas</t>
  </si>
  <si>
    <t>Tairani de Sena</t>
  </si>
  <si>
    <t xml:space="preserve">1 vial botox nuceiva </t>
  </si>
  <si>
    <t>1 VIAL Profhilo Structura (400) + botox</t>
  </si>
  <si>
    <t>1PF STRUCT BTX</t>
  </si>
  <si>
    <t>JOAQUINA García Villegas</t>
  </si>
  <si>
    <t xml:space="preserve">1 vial botox Vistabel </t>
  </si>
  <si>
    <t>Carmen Griñán</t>
  </si>
  <si>
    <t>2ª sesión Prp capilar</t>
  </si>
  <si>
    <t>miercoles 16/09/2025</t>
  </si>
  <si>
    <t>Aicha Dowit</t>
  </si>
  <si>
    <t>1 vial de relleno de labios (300)</t>
  </si>
  <si>
    <t>RELLLAB</t>
  </si>
  <si>
    <t>Carmen pintor fresneda</t>
  </si>
  <si>
    <t xml:space="preserve">1er dermapen con exosomas </t>
  </si>
  <si>
    <t xml:space="preserve">Martirio Pintor Fresneda </t>
  </si>
  <si>
    <t>1 caja de Ampollas Martiderm</t>
  </si>
  <si>
    <t>AMP</t>
  </si>
  <si>
    <t>Profhilo Body(600) + ACP (200)</t>
  </si>
  <si>
    <t>PFBODY ACP</t>
  </si>
  <si>
    <t xml:space="preserve">mAX </t>
  </si>
  <si>
    <t>Antonio Galiana Martín-Portugues</t>
  </si>
  <si>
    <t>1º Bótox (280) + duo 150</t>
  </si>
  <si>
    <t>2º Exosomas capilar</t>
  </si>
  <si>
    <t>Dra: 430 en efe</t>
  </si>
  <si>
    <t>1300 dra efe</t>
  </si>
  <si>
    <t>Maribel Garrido Clares</t>
  </si>
  <si>
    <t>Sonia Alonso Pintor</t>
  </si>
  <si>
    <t>1er vial profhilo structura</t>
  </si>
  <si>
    <t xml:space="preserve"> Eva María Castañeda Gaitán</t>
  </si>
  <si>
    <t>1 VIAL BOTOX BRUXISMO (500)</t>
  </si>
  <si>
    <t>2 PS (80) + Crema exosomas (100) + Ergyflex (40)</t>
  </si>
  <si>
    <t>PS EXOCREM ERFL</t>
  </si>
  <si>
    <t>Efe 150 Dra</t>
  </si>
  <si>
    <t>Iván Luque Férnandez</t>
  </si>
  <si>
    <t xml:space="preserve">1 ial Radiesse </t>
  </si>
  <si>
    <t xml:space="preserve">SOFIA PADILLA DEL CAMPO </t>
  </si>
  <si>
    <t>1ª sesión Morpheus Facial + cuello</t>
  </si>
  <si>
    <t>1 btx (320) + crema hidratante Ibsa (50)</t>
  </si>
  <si>
    <t>BTX CREM</t>
  </si>
  <si>
    <t>Antonio Figueredo Peralta</t>
  </si>
  <si>
    <t>Plexr (80)</t>
  </si>
  <si>
    <t xml:space="preserve">3er acp facial </t>
  </si>
  <si>
    <t xml:space="preserve">Octubre </t>
  </si>
  <si>
    <t xml:space="preserve">tratamiento nanofat + lipofilling cara y cuello (2º pago) </t>
  </si>
  <si>
    <t>2ª sesión dermapen con exosomas (150)</t>
  </si>
  <si>
    <t xml:space="preserve">Carmen Griñán Soria </t>
  </si>
  <si>
    <t>tto nanofat capilar</t>
  </si>
  <si>
    <t>Tahiri maldonado romera</t>
  </si>
  <si>
    <t>2ª sesión hialurodinasa en labio</t>
  </si>
  <si>
    <t>Mari Carmen Maldonado Rodríguez.</t>
  </si>
  <si>
    <t>Plxr en cara cuello escote (300) + 1ª sesión peeling de exosomas con tca</t>
  </si>
  <si>
    <t xml:space="preserve">Dra: 1040 en efe </t>
  </si>
  <si>
    <t xml:space="preserve">1ª sesión forma cuello </t>
  </si>
  <si>
    <t>Isabel Álvarez Moreno.</t>
  </si>
  <si>
    <t xml:space="preserve">1ª sesión Morpheus rostro y cuello </t>
  </si>
  <si>
    <t xml:space="preserve">3 sesiones Morpheus muslos cartucheras (600€/sesión + crema exosomas (100) </t>
  </si>
  <si>
    <t>3MPH CORP EXOCREM</t>
  </si>
  <si>
    <t>CARMEN LIRIA CORRAL</t>
  </si>
  <si>
    <t>1 Profhilo structura (450) + 1 duo peribucal (250)</t>
  </si>
  <si>
    <t xml:space="preserve">Arsenio Rovira Vargas </t>
  </si>
  <si>
    <t xml:space="preserve">Paulina Gorskae </t>
  </si>
  <si>
    <t>2º relleno labios (350)</t>
  </si>
  <si>
    <t>Trinidad Romero Figueroa</t>
  </si>
  <si>
    <t>1 vial Radiesse (390)</t>
  </si>
  <si>
    <t>1 vial Radiesse (420)</t>
  </si>
  <si>
    <t>Lola Martínez Espigares</t>
  </si>
  <si>
    <t>1 prp fac + cuell (Gratis) + 1 duo gratis + 1 duo (100)</t>
  </si>
  <si>
    <t>PRP DUO</t>
  </si>
  <si>
    <t xml:space="preserve">Profhilo structura (450) + retoque de bótox </t>
  </si>
  <si>
    <t xml:space="preserve">Botox (300) + Forma cuello (50) </t>
  </si>
  <si>
    <t>BTX FORMACUE</t>
  </si>
  <si>
    <t xml:space="preserve">Isabel Garrido Herrera </t>
  </si>
  <si>
    <t>1 vial DUO peribucal (250)</t>
  </si>
  <si>
    <t>Botox azzalure</t>
  </si>
  <si>
    <t xml:space="preserve">BTX </t>
  </si>
  <si>
    <t xml:space="preserve">Imanol Berbel Salazar </t>
  </si>
  <si>
    <t xml:space="preserve">1ª sesión exosomas con dermapen </t>
  </si>
  <si>
    <t>900€ Dra Efe</t>
  </si>
  <si>
    <t>María Jesus Corral García</t>
  </si>
  <si>
    <t xml:space="preserve">2º pago facetite facial + cuello </t>
  </si>
  <si>
    <t>FACETITE</t>
  </si>
  <si>
    <t>1450 Efe</t>
  </si>
  <si>
    <t>Eva María Pedrajas López</t>
  </si>
  <si>
    <t>Prophilo structura (450)</t>
  </si>
  <si>
    <t>Prophilo structura (000)</t>
  </si>
  <si>
    <t>Farah Ketouati</t>
  </si>
  <si>
    <t>2º sesión Morpheus</t>
  </si>
  <si>
    <t>MRPH</t>
  </si>
  <si>
    <t>300€  Dra efe</t>
  </si>
  <si>
    <t xml:space="preserve">2 duos peribucales (450) + 1 BOTOX NUCEIVA (320) + DEBÍA 150 </t>
  </si>
  <si>
    <t>2DUO BTX</t>
  </si>
  <si>
    <t>3ª sesión dermapen con exosomas capilar</t>
  </si>
  <si>
    <t>800 Dra efe</t>
  </si>
  <si>
    <t xml:space="preserve">Eva Mellado Lopez </t>
  </si>
  <si>
    <t xml:space="preserve">Profhilo body kit </t>
  </si>
  <si>
    <t>pf body</t>
  </si>
  <si>
    <t>2ª sesión de prp capilar</t>
  </si>
  <si>
    <t xml:space="preserve">Marga Prieto </t>
  </si>
  <si>
    <t>2ª sesión profhilo body brazos + sesión deep slim brazo</t>
  </si>
  <si>
    <t>2º vial profhilo structura + reotque de bótox</t>
  </si>
  <si>
    <t>2ª sesión Plasma rico en plaquetas capilar</t>
  </si>
  <si>
    <t>2.300 dra efe hacienda</t>
  </si>
  <si>
    <t xml:space="preserve">dermapen facial con the Line </t>
  </si>
  <si>
    <t xml:space="preserve">2ª sesión Forma cuello </t>
  </si>
  <si>
    <t>rellenos Labios</t>
  </si>
  <si>
    <t xml:space="preserve">3er profhilo structura  </t>
  </si>
  <si>
    <t xml:space="preserve">2º peeling de exosomas en manos </t>
  </si>
  <si>
    <t xml:space="preserve">1 sesión peeling TCA + dermapen </t>
  </si>
  <si>
    <t>TCAPEEL</t>
  </si>
  <si>
    <t>Esther Simón Simón</t>
  </si>
  <si>
    <t>1 sesión dermapen con principio activo despigmentante BCN</t>
  </si>
  <si>
    <t>DP FAC DESPG</t>
  </si>
  <si>
    <t xml:space="preserve">Mari Angustias SEMAES </t>
  </si>
  <si>
    <t>1ª sesión de Dermapen con exosomas nutri</t>
  </si>
  <si>
    <t>María Piedad Bacas Salinas</t>
  </si>
  <si>
    <t>1ª sesión Prp en cicatriz abdomen + 5 cicatrices en espalda</t>
  </si>
  <si>
    <t>PRP + DP</t>
  </si>
  <si>
    <t>10 sesión adipozon en rodillas</t>
  </si>
  <si>
    <t xml:space="preserve">Montserrat Mengivar Ponce </t>
  </si>
  <si>
    <t xml:space="preserve">1 DUO peribucal </t>
  </si>
  <si>
    <t xml:space="preserve">Pacientes de Dr. Martínez Antonia y Pilar </t>
  </si>
  <si>
    <t>2 ERGYFLEX</t>
  </si>
  <si>
    <t>ERGFLEX</t>
  </si>
  <si>
    <t xml:space="preserve">10 euros en vueltas </t>
  </si>
  <si>
    <t xml:space="preserve">800 dra efe. </t>
  </si>
  <si>
    <t xml:space="preserve">Saaida Bouhlal </t>
  </si>
  <si>
    <t xml:space="preserve">Dermapen con exosomas </t>
  </si>
  <si>
    <t>DP</t>
  </si>
  <si>
    <t>Silvia Amado</t>
  </si>
  <si>
    <t>1º evaluación</t>
  </si>
  <si>
    <t>EVA</t>
  </si>
  <si>
    <t>Mari Ángeles Aguilera Nache</t>
  </si>
  <si>
    <t>Transefrencia nanofat capilar</t>
  </si>
  <si>
    <t xml:space="preserve">Sara Segura U </t>
  </si>
  <si>
    <t>1 botox (320) + duo peribucal (250)</t>
  </si>
  <si>
    <t xml:space="preserve">BTX DUO </t>
  </si>
  <si>
    <t>2ª sesión Morpheus facial + cuello (500)</t>
  </si>
  <si>
    <t xml:space="preserve">Jose Antonio Fernández Archilla </t>
  </si>
  <si>
    <t>Plexr verrugas faciales</t>
  </si>
  <si>
    <t>peeling exosomas rostro (150) + Duo peribual 225</t>
  </si>
  <si>
    <t>DUO EXOPEEL</t>
  </si>
  <si>
    <t>Pilar Cabeo Rodriguez</t>
  </si>
  <si>
    <t>1 Profhilo body (800) + Duo peribucal (250)</t>
  </si>
  <si>
    <t>PFBODY DUO</t>
  </si>
  <si>
    <t>Peelig de exosomas facial (120) + sesión deep slim cicatrices pecho (60)</t>
  </si>
  <si>
    <t>EXOPEEL DSCICA</t>
  </si>
  <si>
    <t>1800 efe dra</t>
  </si>
  <si>
    <t>Maria Isabel Tapia</t>
  </si>
  <si>
    <t>Plexr verrugas (cuello, cara, pecho, esplada, abdomen)</t>
  </si>
  <si>
    <t xml:space="preserve">Ana Belén correa ramos </t>
  </si>
  <si>
    <t>BÓTOX</t>
  </si>
  <si>
    <t xml:space="preserve">4ª sesion Forma cuello </t>
  </si>
  <si>
    <t>1er Profhilo structura (450)</t>
  </si>
  <si>
    <t xml:space="preserve">Salma(2). </t>
  </si>
  <si>
    <t>Primera evaluación</t>
  </si>
  <si>
    <t>1 vial a.h teoxane (300)</t>
  </si>
  <si>
    <t>RADI 1AH</t>
  </si>
  <si>
    <t xml:space="preserve">700 INGRESO </t>
  </si>
  <si>
    <t>700 efe dra</t>
  </si>
  <si>
    <t>María Ángeles Aguilera Nache</t>
  </si>
  <si>
    <t>2º pago nanofat capilar</t>
  </si>
  <si>
    <t>NANOFAT</t>
  </si>
  <si>
    <t>Manuel Vazquez Carranza</t>
  </si>
  <si>
    <t>DPEXO FAC</t>
  </si>
  <si>
    <t xml:space="preserve">2ª SESIÓN DUTASTERIDE CON DERMAPEN </t>
  </si>
  <si>
    <t>DUTA DP</t>
  </si>
  <si>
    <t>2º VIAL Profhilo structura (450)</t>
  </si>
  <si>
    <t>2 Viales de teoxane (350 y 320)</t>
  </si>
  <si>
    <t>Toñi Hernández Salmerón</t>
  </si>
  <si>
    <t>Rosalia Sevilla Ruiz</t>
  </si>
  <si>
    <t xml:space="preserve">1 ev. facial </t>
  </si>
  <si>
    <t xml:space="preserve">VAL </t>
  </si>
  <si>
    <t>Lucia Ayala Gónzalez</t>
  </si>
  <si>
    <t>Bono 6 sesiones Forma</t>
  </si>
  <si>
    <t>FORMA</t>
  </si>
  <si>
    <t>Lola Martinez Espigares</t>
  </si>
  <si>
    <t>1 duo (100) + 1 acp (100)</t>
  </si>
  <si>
    <t>MANO DE OBRA A.H. (60)</t>
  </si>
  <si>
    <t>MANO DE OBRA</t>
  </si>
  <si>
    <t xml:space="preserve">Sonia Alonso Pintor </t>
  </si>
  <si>
    <t>2 profhilo structura (450)</t>
  </si>
  <si>
    <t>Genoveva Palmero Alférez</t>
  </si>
  <si>
    <t>Cirugía de lóbulos en las orejas (500)</t>
  </si>
  <si>
    <t>CIRULOBU</t>
  </si>
  <si>
    <t>Rosa Robles Soto</t>
  </si>
  <si>
    <t>3 viales a.h. Maili (300/vial)</t>
  </si>
  <si>
    <t>3 A.H.</t>
  </si>
  <si>
    <t>María Antonia Martínez González</t>
  </si>
  <si>
    <t xml:space="preserve">1 vial de bótox vistabel </t>
  </si>
  <si>
    <t>btx</t>
  </si>
  <si>
    <t>1200 Dra Efe</t>
  </si>
  <si>
    <t xml:space="preserve">Isabel Fuentes Rubira </t>
  </si>
  <si>
    <t>Dermapen</t>
  </si>
  <si>
    <t>Sergio Fuentes Navarro</t>
  </si>
  <si>
    <t>Verruga facial (100)</t>
  </si>
  <si>
    <t>RESERVA NANOFAT</t>
  </si>
  <si>
    <t xml:space="preserve">2º profhilo structura </t>
  </si>
  <si>
    <t>Rinomodelación</t>
  </si>
  <si>
    <t xml:space="preserve">Profhilo structura </t>
  </si>
  <si>
    <t>Alejandro Rebollo Galiana</t>
  </si>
  <si>
    <t xml:space="preserve">1 vial a.h. Ultra deep </t>
  </si>
  <si>
    <t>1 ah</t>
  </si>
  <si>
    <t>Lidia Ramirez Rueda</t>
  </si>
  <si>
    <t>1 vial acp periocular (paga bono 600 --&gt; 3 viales)</t>
  </si>
  <si>
    <t>INGRESO 1000</t>
  </si>
  <si>
    <t>INGRESO 600</t>
  </si>
  <si>
    <t>Botox en frente</t>
  </si>
  <si>
    <t>Kristina kaminskaite</t>
  </si>
  <si>
    <t>2 DUOS en cuello (250 vial) + botox nuceiva (350)</t>
  </si>
  <si>
    <t>2 DUO + BTX</t>
  </si>
  <si>
    <t>EFE DRA 850</t>
  </si>
  <si>
    <t>Alicia Villegas Tito</t>
  </si>
  <si>
    <t xml:space="preserve">1er vial profhilo structura </t>
  </si>
  <si>
    <t>Francisco Blanco Díez</t>
  </si>
  <si>
    <t>Eva Mellado Lopez</t>
  </si>
  <si>
    <t>1er vial profhilo structura (450) + restante de pago de PF CUELLO (300)</t>
  </si>
  <si>
    <t>PF STRUCT + DEU</t>
  </si>
  <si>
    <t>María Isabel González Parrilla</t>
  </si>
  <si>
    <t>1 er vial bótox (300) + (profhilo body kit (800) + Ergycell (50)</t>
  </si>
  <si>
    <t>PFBODY + BTX + ERGY</t>
  </si>
  <si>
    <t>572.5</t>
  </si>
  <si>
    <t>Manuela Milán Mejías</t>
  </si>
  <si>
    <t>Eliminación verrugas grandes, bisturí electrico (300)</t>
  </si>
  <si>
    <t>Efe DRA. 600</t>
  </si>
  <si>
    <t>Ingreso 500</t>
  </si>
  <si>
    <t>Nanofat capilar</t>
  </si>
  <si>
    <t>NANO</t>
  </si>
  <si>
    <t>plexr verrugas (100)</t>
  </si>
  <si>
    <t>José Martínez González</t>
  </si>
  <si>
    <t>Bótox (320)</t>
  </si>
  <si>
    <t>11 sesión de ADIPOZON</t>
  </si>
  <si>
    <t>María García Prieto</t>
  </si>
  <si>
    <t>Econes</t>
  </si>
  <si>
    <t>1 vial de redénsity ojeras (420)</t>
  </si>
  <si>
    <t>REDEN</t>
  </si>
  <si>
    <t>1 vial DUO peribucal (200)</t>
  </si>
  <si>
    <t>Bótox hiperhidrosis en los pies (500) + bono de acp (600)</t>
  </si>
  <si>
    <t>BTX ACP</t>
  </si>
  <si>
    <t>DRA 750 EFE</t>
  </si>
  <si>
    <t xml:space="preserve">retoque de bótox + duo peribucal </t>
  </si>
  <si>
    <t>Duo peribucal</t>
  </si>
  <si>
    <t>duo facial con cánula</t>
  </si>
  <si>
    <t>3ª sesión deep slim + desbridamiento (300) + Adipozon (240)</t>
  </si>
  <si>
    <t>DS DESBR ADIPO</t>
  </si>
  <si>
    <t>Eva Lardón Sabio</t>
  </si>
  <si>
    <t>reev</t>
  </si>
  <si>
    <t>REEV</t>
  </si>
  <si>
    <t>Laura Lardón Sabio</t>
  </si>
  <si>
    <t>1ª ev</t>
  </si>
  <si>
    <t>EV</t>
  </si>
  <si>
    <t>4º DUO periocular (250) + dermapen (100)</t>
  </si>
  <si>
    <t>DUO DP</t>
  </si>
  <si>
    <t>EFE 720</t>
  </si>
  <si>
    <t>3ª sesión PRP facial (gratis) + capilar (250) con dermapen</t>
  </si>
  <si>
    <t xml:space="preserve">María García Prieto </t>
  </si>
  <si>
    <t>1 vial hialurónico en pómulos (350) + 2 viales de DUO (400) + 1 SESIÓN DEEP SLIM (GRATIS)</t>
  </si>
  <si>
    <t>1 AH DUO</t>
  </si>
  <si>
    <t>3ª sesión PRP en cicatrices + dermapen + plexr en quoeloides (gratis)</t>
  </si>
  <si>
    <t>Eva María Maldonado Maldonado</t>
  </si>
  <si>
    <t xml:space="preserve">1ª sesión Morpheus fac + cue (500) </t>
  </si>
  <si>
    <t>Ana Villar Chica</t>
  </si>
  <si>
    <t>Retoque de rinomodelación(450) + sobrante en pómulo+ líneas de Marioneta</t>
  </si>
  <si>
    <t>Gema Chaves Chaves</t>
  </si>
  <si>
    <t>1 vial de Bótox Bocouture (50ud)</t>
  </si>
  <si>
    <t>Francisco Maleno Sanchez</t>
  </si>
  <si>
    <t>revisión lunares espalda</t>
  </si>
  <si>
    <t>REV</t>
  </si>
  <si>
    <t xml:space="preserve">Dermapen facial </t>
  </si>
  <si>
    <t>relleno de ojeras TEOXANE REDÉNSITY 2</t>
  </si>
  <si>
    <t>AH OJ</t>
  </si>
  <si>
    <t>Imanol Berbel Salazar</t>
  </si>
  <si>
    <t>2ª sesión de dermapen en exosomas capilares</t>
  </si>
  <si>
    <t xml:space="preserve">Esther Simón Simón </t>
  </si>
  <si>
    <t>PXR EXOPEEL</t>
  </si>
  <si>
    <t>Salvador Cortés Cortés</t>
  </si>
  <si>
    <t>Radiesse (420)</t>
  </si>
  <si>
    <t>Cristina Geréz García</t>
  </si>
  <si>
    <t>PROFHILO STRUCRURA (450) + Duo (50) + eco (50)</t>
  </si>
  <si>
    <t>PFSTRUC + DUO + ECO</t>
  </si>
  <si>
    <t xml:space="preserve">3ER DUO CUELLO </t>
  </si>
  <si>
    <t>María Isabel Cobo Baños</t>
  </si>
  <si>
    <t>1 PF STRUCTURA (450) + BONO 3 DUOS (600)</t>
  </si>
  <si>
    <t>PF STRUCT DUO BONO</t>
  </si>
  <si>
    <t>RELLENO DE LABIOS (250)</t>
  </si>
  <si>
    <t>LAB</t>
  </si>
  <si>
    <t>Margarita Rodríguez Megías</t>
  </si>
  <si>
    <t xml:space="preserve">Plexr en ojera + sien + cuello + pie izquierdo + interior del muslo </t>
  </si>
  <si>
    <t>Hugo Martínez Hernández</t>
  </si>
  <si>
    <t>Bótox (300)</t>
  </si>
  <si>
    <t>Melisa Pérez Florido</t>
  </si>
  <si>
    <t>Ingreso Sirio 1100</t>
  </si>
  <si>
    <t>Dra: 1120 efe</t>
  </si>
  <si>
    <t>Verónica Martínez Martínez</t>
  </si>
  <si>
    <t>Dermapen con polinucleotidos en contorno de ojos</t>
  </si>
  <si>
    <t>POLYDP</t>
  </si>
  <si>
    <t>Reserva acutite (750) + bótox nuceiva (350)</t>
  </si>
  <si>
    <t>RSRV BTX</t>
  </si>
  <si>
    <t>2º Pago Accutite en bolsas + elevación de cejas con accutite</t>
  </si>
  <si>
    <t>ACCU</t>
  </si>
  <si>
    <t>Pilar Cabeo Rodriguez (Duo peribucal(250) + bótox (350))</t>
  </si>
  <si>
    <t xml:space="preserve">2ª sesión dermapen con exosomas </t>
  </si>
  <si>
    <t>1ª sesión prpr capilar + 2ª acp (ya abonada) + 1 sesion dutasteride (gratis)</t>
  </si>
  <si>
    <t>PRPCAP MESODUTA</t>
  </si>
  <si>
    <t>1 sesión deep slim pectoral + forma</t>
  </si>
  <si>
    <t>Paqui Daza Sánchez</t>
  </si>
  <si>
    <t xml:space="preserve">1ª ev + 1ª sesion Morpheus gluteos </t>
  </si>
  <si>
    <t>Elisa Peña Lirola</t>
  </si>
  <si>
    <t xml:space="preserve">1 duo PERIBUCAL (250) + 1 pf structura (450) </t>
  </si>
  <si>
    <t>Bótox (300) + 1 VIAL ACP (200) + ACP PENDIENTE (200)</t>
  </si>
  <si>
    <t xml:space="preserve">BTX 2ACP </t>
  </si>
  <si>
    <t>prp capilar (200)</t>
  </si>
  <si>
    <t>Carmen Sevilla Árevalo</t>
  </si>
  <si>
    <t>1ª sesión Morpheus periocular (350)</t>
  </si>
  <si>
    <t>MP PERI</t>
  </si>
  <si>
    <t>DRA EFE 1950</t>
  </si>
  <si>
    <t>BOTOX (300)</t>
  </si>
  <si>
    <t xml:space="preserve">Carmen Rodríguez Sáez </t>
  </si>
  <si>
    <t>3ª sesión Morpheus facial + cuello (500)</t>
  </si>
  <si>
    <t>2ª VIAL LABIOS (300)</t>
  </si>
  <si>
    <t>AHLAB</t>
  </si>
  <si>
    <t>Ana María Caro Martín</t>
  </si>
  <si>
    <t>Bótox en la frente (350) + Duo peribucal (250)</t>
  </si>
  <si>
    <t>Noelia Valdeavero Castro</t>
  </si>
  <si>
    <t>Rinomodelación (450)</t>
  </si>
  <si>
    <t xml:space="preserve">Alejandro Rebollo Galiana </t>
  </si>
  <si>
    <t>RELLENO DE OJERA</t>
  </si>
  <si>
    <t>RH OJERA</t>
  </si>
  <si>
    <t>1 VIAL PROFHILO STRUCTURA(450) + DUO (250)</t>
  </si>
  <si>
    <t>3er Duo (200)</t>
  </si>
  <si>
    <t>BONO ACP (600)</t>
  </si>
  <si>
    <t>3ACP</t>
  </si>
  <si>
    <t>EFE DRA 200</t>
  </si>
  <si>
    <t>4º vial duo (200) + 4 acp periocular (200) + 1 vial a.h.(350)</t>
  </si>
  <si>
    <t xml:space="preserve">AH DUO </t>
  </si>
  <si>
    <t>2º Vial Profhilo structura (450) + bótox (300)</t>
  </si>
  <si>
    <t>PFSTRUCT BTX</t>
  </si>
  <si>
    <t>María José López Cuadrado</t>
  </si>
  <si>
    <t>1 vial Profhilo structura (450)</t>
  </si>
  <si>
    <t>P STRUCT</t>
  </si>
  <si>
    <t xml:space="preserve">Bono 5 sesiones de Deep slim </t>
  </si>
  <si>
    <t>DS BONO</t>
  </si>
  <si>
    <t>1er vail PF body (800)</t>
  </si>
  <si>
    <t xml:space="preserve">Alicia Villegas Tito </t>
  </si>
  <si>
    <t>2º Vial PF Structura (450)</t>
  </si>
  <si>
    <t>1er bótox (300) + Radiesse (420)</t>
  </si>
  <si>
    <t>BTX RADI</t>
  </si>
  <si>
    <t>Carolina María Rodriguez Fernández</t>
  </si>
  <si>
    <t>Acp (125) + 1 profhilo structura (350)</t>
  </si>
  <si>
    <t>ACP PFSTRUCT</t>
  </si>
  <si>
    <t>2ª Duo PERIBUCAL (200)</t>
  </si>
  <si>
    <t xml:space="preserve">-430 deuda Obra </t>
  </si>
  <si>
    <t>1 a.h. Maili Extreme (350) + 1 duo peribucal (250)</t>
  </si>
  <si>
    <t>A.H. DUO</t>
  </si>
  <si>
    <t xml:space="preserve">Acuttite en tercio superior + masetero + submenton </t>
  </si>
  <si>
    <t>ACU</t>
  </si>
  <si>
    <t>2 viales Duo peribucal (500)</t>
  </si>
  <si>
    <t>Marga Prieto</t>
  </si>
  <si>
    <t>1 sesión deep slim (60) + 1 vial adipozon brazos(120) + desbridamiento (150)</t>
  </si>
  <si>
    <t>ADIPO DS DESBR</t>
  </si>
  <si>
    <t>1 VIAL DUO peribucal (250)</t>
  </si>
  <si>
    <t>1DUO</t>
  </si>
  <si>
    <t xml:space="preserve">1 sesión deep slim espalda (100) + retoque de bótox </t>
  </si>
  <si>
    <t>30 EUROS EFE</t>
  </si>
  <si>
    <t>BÓTOX (320)</t>
  </si>
  <si>
    <t>Maribel Hernández Salmerón</t>
  </si>
  <si>
    <t>1 SESIÓN FORMA (100) + Dermapen exosomas (250)</t>
  </si>
  <si>
    <t>FORM DP EXO CAP</t>
  </si>
  <si>
    <t>Andrea Alonso Fernández</t>
  </si>
  <si>
    <t>PRIMERA EVALUCIÓN</t>
  </si>
  <si>
    <t>1 vial adipozon en papada (120)</t>
  </si>
  <si>
    <t xml:space="preserve">Charo Pérez Alcoba </t>
  </si>
  <si>
    <t>Efe DRA 1950</t>
  </si>
  <si>
    <t>1 Profhilo Structura</t>
  </si>
  <si>
    <t>Jennifer Sanchez Fernández</t>
  </si>
  <si>
    <t>3º Sesión Mopheus</t>
  </si>
  <si>
    <t>MPF</t>
  </si>
  <si>
    <t>Bono 3 Duo</t>
  </si>
  <si>
    <t>Bono 3 Duo + Hialuronidasa</t>
  </si>
  <si>
    <t>DUO+HIALURO</t>
  </si>
  <si>
    <t>Peeling exosomas+mascara</t>
  </si>
  <si>
    <t>PEELING+MASC</t>
  </si>
  <si>
    <t>Rocío de Rojas Fernández</t>
  </si>
  <si>
    <t>Purificación Sánchez García</t>
  </si>
  <si>
    <t>Bótox + 2 ach</t>
  </si>
  <si>
    <t>BTX+ ACH</t>
  </si>
  <si>
    <t>Manuel Cravioto Manrique</t>
  </si>
  <si>
    <t>Bótox +1 duo</t>
  </si>
  <si>
    <t>BTX+DUO</t>
  </si>
  <si>
    <t xml:space="preserve">DRA.Asel </t>
  </si>
  <si>
    <t>1 profhilo FACE</t>
  </si>
  <si>
    <t>FACE</t>
  </si>
  <si>
    <t>Lucía Acién Balaguer</t>
  </si>
  <si>
    <t>Dermapen exosomas + Plexr</t>
  </si>
  <si>
    <t>DP+PLX</t>
  </si>
  <si>
    <t>Mari Angeles Balaguer Navarro</t>
  </si>
  <si>
    <t>1º Ev</t>
  </si>
  <si>
    <t>Laura Callejón García</t>
  </si>
  <si>
    <t>Prp Capilar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</si>
</sst>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dd/mm/yyyy"/>
    <numFmt numFmtId="166" formatCode="dd/mm/yy"/>
    <numFmt numFmtId="167" formatCode="dddd dd/mm/yyyy"/>
    <numFmt numFmtId="168" formatCode="d/m/yy"/>
    <numFmt numFmtId="169" formatCode="d/m/yyyy"/>
  </numFmts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Montserrat"/>
    </font>
    <font>
      <i/>
      <color theme="1"/>
      <name val="Arial"/>
    </font>
    <font>
      <sz val="12.0"/>
      <color rgb="FF1F1F1F"/>
      <name val="Arial"/>
    </font>
    <font>
      <sz val="9.0"/>
      <color rgb="FF1F1F1F"/>
      <name val="Times New Roman"/>
    </font>
    <font>
      <sz val="11.0"/>
      <color rgb="FF1F1F1F"/>
      <name val="Times New Roman"/>
    </font>
    <font>
      <sz val="10.0"/>
      <color rgb="FF1F1F1F"/>
      <name val="Arial"/>
    </font>
    <font>
      <b/>
      <color theme="1"/>
      <name val="Arial"/>
    </font>
    <font>
      <sz val="10.0"/>
      <color theme="1"/>
      <name val="Arial"/>
    </font>
    <font>
      <sz val="12.0"/>
      <color rgb="FF1F1F1F"/>
      <name val="Times New Roman"/>
    </font>
    <font>
      <color theme="1"/>
      <name val="Arial"/>
      <scheme val="minor"/>
    </font>
    <font>
      <color rgb="FF000000"/>
      <name val="Arial"/>
      <scheme val="minor"/>
    </font>
    <font>
      <color rgb="FF6FA8DC"/>
      <name val="Arial"/>
      <scheme val="minor"/>
    </font>
    <font>
      <sz val="10.0"/>
      <color rgb="FF1F1F1F"/>
      <name val="&quot;Google Sans&quot;"/>
    </font>
    <font>
      <sz val="17.0"/>
      <color rgb="FF1F1F1F"/>
      <name val="&quot;Google Sans&quot;"/>
    </font>
    <font>
      <sz val="10.0"/>
      <color rgb="FF1F1F1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0F4F9"/>
        <bgColor rgb="FFF0F4F9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164" xfId="0" applyAlignment="1" applyBorder="1" applyFont="1" applyNumberFormat="1">
      <alignment horizontal="center" vertical="bottom"/>
    </xf>
    <xf borderId="2" fillId="2" fontId="2" numFmtId="164" xfId="0" applyAlignment="1" applyBorder="1" applyFont="1" applyNumberFormat="1">
      <alignment horizontal="right" vertical="bottom"/>
    </xf>
    <xf borderId="0" fillId="3" fontId="3" numFmtId="0" xfId="0" applyFill="1" applyFont="1"/>
    <xf borderId="0" fillId="0" fontId="1" numFmtId="165" xfId="0" applyFont="1" applyNumberFormat="1"/>
    <xf borderId="0" fillId="0" fontId="1" numFmtId="0" xfId="0" applyFont="1"/>
    <xf borderId="0" fillId="4" fontId="1" numFmtId="0" xfId="0" applyFill="1" applyFont="1"/>
    <xf borderId="0" fillId="3" fontId="3" numFmtId="4" xfId="0" applyFont="1" applyNumberFormat="1"/>
    <xf borderId="0" fillId="0" fontId="3" numFmtId="0" xfId="0" applyFont="1"/>
    <xf borderId="0" fillId="4" fontId="1" numFmtId="165" xfId="0" applyFont="1" applyNumberFormat="1"/>
    <xf borderId="0" fillId="5" fontId="1" numFmtId="0" xfId="0" applyFill="1" applyFont="1"/>
    <xf borderId="0" fillId="2" fontId="1" numFmtId="0" xfId="0" applyFont="1"/>
    <xf borderId="0" fillId="0" fontId="1" numFmtId="166" xfId="0" applyFont="1" applyNumberFormat="1"/>
    <xf borderId="0" fillId="6" fontId="4" numFmtId="0" xfId="0" applyFill="1" applyFont="1"/>
    <xf borderId="0" fillId="6" fontId="5" numFmtId="0" xfId="0" applyFont="1"/>
    <xf borderId="0" fillId="6" fontId="6" numFmtId="0" xfId="0" applyFont="1"/>
    <xf borderId="0" fillId="6" fontId="7" numFmtId="0" xfId="0" applyFont="1"/>
    <xf borderId="0" fillId="5" fontId="8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7" fontId="1" numFmtId="0" xfId="0" applyFill="1" applyFont="1"/>
    <xf borderId="0" fillId="0" fontId="9" numFmtId="0" xfId="0" applyFont="1"/>
    <xf borderId="0" fillId="8" fontId="1" numFmtId="0" xfId="0" applyFill="1" applyFont="1"/>
    <xf borderId="0" fillId="6" fontId="10" numFmtId="0" xfId="0" applyFont="1"/>
    <xf borderId="0" fillId="5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1" numFmtId="0" xfId="0" applyAlignment="1" applyFont="1">
      <alignment readingOrder="0"/>
    </xf>
    <xf borderId="0" fillId="9" fontId="1" numFmtId="0" xfId="0" applyFill="1" applyFont="1"/>
    <xf borderId="0" fillId="0" fontId="11" numFmtId="0" xfId="0" applyFont="1"/>
    <xf borderId="0" fillId="4" fontId="1" numFmtId="0" xfId="0" applyAlignment="1" applyFont="1">
      <alignment readingOrder="0"/>
    </xf>
    <xf borderId="0" fillId="5" fontId="11" numFmtId="0" xfId="0" applyFont="1"/>
    <xf borderId="0" fillId="7" fontId="11" numFmtId="0" xfId="0" applyFont="1"/>
    <xf borderId="0" fillId="0" fontId="11" numFmtId="165" xfId="0" applyAlignment="1" applyFont="1" applyNumberFormat="1">
      <alignment readingOrder="0"/>
    </xf>
    <xf borderId="0" fillId="4" fontId="11" numFmtId="0" xfId="0" applyFont="1"/>
    <xf borderId="0" fillId="4" fontId="11" numFmtId="0" xfId="0" applyAlignment="1" applyFont="1">
      <alignment readingOrder="0"/>
    </xf>
    <xf borderId="0" fillId="10" fontId="11" numFmtId="0" xfId="0" applyFill="1" applyFont="1"/>
    <xf borderId="0" fillId="11" fontId="11" numFmtId="0" xfId="0" applyFill="1" applyFont="1"/>
    <xf borderId="0" fillId="5" fontId="11" numFmtId="0" xfId="0" applyAlignment="1" applyFont="1">
      <alignment readingOrder="0"/>
    </xf>
    <xf borderId="0" fillId="7" fontId="11" numFmtId="0" xfId="0" applyAlignment="1" applyFont="1">
      <alignment readingOrder="0"/>
    </xf>
    <xf borderId="0" fillId="0" fontId="11" numFmtId="167" xfId="0" applyAlignment="1" applyFont="1" applyNumberFormat="1">
      <alignment readingOrder="0"/>
    </xf>
    <xf borderId="0" fillId="12" fontId="11" numFmtId="167" xfId="0" applyAlignment="1" applyFill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6" fontId="14" numFmtId="0" xfId="0" applyAlignment="1" applyFont="1">
      <alignment readingOrder="0"/>
    </xf>
    <xf borderId="0" fillId="6" fontId="15" numFmtId="0" xfId="0" applyAlignment="1" applyFont="1">
      <alignment readingOrder="0"/>
    </xf>
    <xf borderId="0" fillId="0" fontId="11" numFmtId="168" xfId="0" applyAlignment="1" applyFont="1" applyNumberFormat="1">
      <alignment readingOrder="0"/>
    </xf>
    <xf borderId="0" fillId="0" fontId="11" numFmtId="169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6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38"/>
    <col customWidth="1" min="3" max="3" width="42.75"/>
    <col customWidth="1" min="4" max="6" width="12.63"/>
    <col customWidth="1" min="9" max="9" width="15.13"/>
    <col customWidth="1" min="10" max="10" width="16.38"/>
    <col customWidth="1" min="11" max="11" width="14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</row>
    <row r="2" ht="15.75" customHeight="1">
      <c r="A2" s="5">
        <v>45658.0</v>
      </c>
      <c r="B2" s="6" t="s">
        <v>11</v>
      </c>
      <c r="C2" s="6" t="s">
        <v>12</v>
      </c>
      <c r="D2" s="6" t="s">
        <v>13</v>
      </c>
      <c r="E2" s="6">
        <v>50.0</v>
      </c>
      <c r="F2" s="6">
        <v>0.0</v>
      </c>
      <c r="G2" s="6">
        <v>0.0</v>
      </c>
      <c r="H2" s="6">
        <v>50.0</v>
      </c>
      <c r="I2" s="6">
        <v>0.0</v>
      </c>
      <c r="J2" s="6">
        <v>0.0</v>
      </c>
      <c r="K2" s="6">
        <v>0.0</v>
      </c>
      <c r="L2" s="4"/>
    </row>
    <row r="3" ht="15.75" customHeight="1">
      <c r="A3" s="5">
        <v>45664.0</v>
      </c>
      <c r="B3" s="6" t="s">
        <v>14</v>
      </c>
      <c r="C3" s="6" t="s">
        <v>15</v>
      </c>
      <c r="D3" s="6" t="s">
        <v>16</v>
      </c>
      <c r="E3" s="6">
        <v>700.0</v>
      </c>
      <c r="F3" s="6">
        <v>700.0</v>
      </c>
      <c r="G3" s="6">
        <v>0.0</v>
      </c>
      <c r="H3" s="6">
        <v>0.0</v>
      </c>
      <c r="I3" s="6">
        <v>0.0</v>
      </c>
      <c r="J3" s="6">
        <v>700.0</v>
      </c>
      <c r="K3" s="6">
        <v>0.0</v>
      </c>
      <c r="L3" s="4">
        <v>750.0</v>
      </c>
      <c r="M3" s="6">
        <v>750.0</v>
      </c>
    </row>
    <row r="4" ht="15.75" customHeight="1">
      <c r="L4" s="4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4"/>
    </row>
    <row r="6" ht="15.75" customHeight="1">
      <c r="A6" s="5">
        <v>45665.0</v>
      </c>
      <c r="B6" s="6" t="s">
        <v>17</v>
      </c>
      <c r="C6" s="6" t="s">
        <v>18</v>
      </c>
      <c r="D6" s="6" t="s">
        <v>19</v>
      </c>
      <c r="E6" s="6">
        <v>800.0</v>
      </c>
      <c r="F6" s="6">
        <v>0.0</v>
      </c>
      <c r="G6" s="6">
        <v>800.0</v>
      </c>
      <c r="H6" s="6">
        <v>0.0</v>
      </c>
      <c r="I6" s="6">
        <v>0.0</v>
      </c>
      <c r="J6" s="6">
        <v>800.0</v>
      </c>
      <c r="K6" s="6">
        <v>0.0</v>
      </c>
      <c r="L6" s="4"/>
    </row>
    <row r="7" ht="15.75" customHeight="1">
      <c r="A7" s="5">
        <v>45665.0</v>
      </c>
      <c r="B7" s="6" t="s">
        <v>20</v>
      </c>
      <c r="C7" s="6" t="s">
        <v>21</v>
      </c>
      <c r="D7" s="6" t="s">
        <v>22</v>
      </c>
      <c r="E7" s="6">
        <v>100.0</v>
      </c>
      <c r="F7" s="6">
        <v>0.0</v>
      </c>
      <c r="G7" s="6">
        <v>100.0</v>
      </c>
      <c r="H7" s="6">
        <v>0.0</v>
      </c>
      <c r="I7" s="6">
        <v>0.0</v>
      </c>
      <c r="J7" s="6">
        <v>100.0</v>
      </c>
      <c r="K7" s="6">
        <v>0.0</v>
      </c>
      <c r="L7" s="4"/>
    </row>
    <row r="8" ht="15.75" customHeight="1">
      <c r="A8" s="5">
        <v>45665.0</v>
      </c>
      <c r="B8" s="6" t="s">
        <v>23</v>
      </c>
      <c r="C8" s="6" t="s">
        <v>24</v>
      </c>
      <c r="D8" s="6" t="s">
        <v>22</v>
      </c>
      <c r="E8" s="6">
        <v>100.0</v>
      </c>
      <c r="F8" s="6">
        <v>0.0</v>
      </c>
      <c r="G8" s="6">
        <v>100.0</v>
      </c>
      <c r="H8" s="6">
        <v>0.0</v>
      </c>
      <c r="I8" s="6">
        <v>0.0</v>
      </c>
      <c r="J8" s="6">
        <v>100.0</v>
      </c>
      <c r="K8" s="6">
        <v>0.0</v>
      </c>
      <c r="L8" s="4"/>
    </row>
    <row r="9" ht="15.75" customHeight="1">
      <c r="A9" s="5">
        <v>45665.0</v>
      </c>
      <c r="B9" s="6" t="s">
        <v>25</v>
      </c>
      <c r="C9" s="6" t="s">
        <v>26</v>
      </c>
      <c r="D9" s="6" t="s">
        <v>27</v>
      </c>
      <c r="E9" s="6">
        <v>400.0</v>
      </c>
      <c r="F9" s="6">
        <v>0.0</v>
      </c>
      <c r="G9" s="6">
        <v>400.0</v>
      </c>
      <c r="H9" s="6">
        <v>0.0</v>
      </c>
      <c r="I9" s="6">
        <v>0.0</v>
      </c>
      <c r="J9" s="6">
        <v>400.0</v>
      </c>
      <c r="K9" s="6">
        <v>0.0</v>
      </c>
      <c r="L9" s="4"/>
    </row>
    <row r="10" ht="15.75" customHeight="1">
      <c r="E10" s="6">
        <f>SUM(E6:E9)</f>
        <v>1400</v>
      </c>
      <c r="F10" s="6">
        <v>0.0</v>
      </c>
      <c r="G10" s="6">
        <v>1400.0</v>
      </c>
      <c r="H10" s="6">
        <v>0.0</v>
      </c>
      <c r="I10" s="6">
        <v>0.0</v>
      </c>
      <c r="J10" s="6">
        <v>1400.0</v>
      </c>
      <c r="K10" s="6">
        <v>0.0</v>
      </c>
      <c r="L10" s="4">
        <v>1400.0</v>
      </c>
      <c r="M10" s="6">
        <v>1400.0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4"/>
    </row>
    <row r="12" ht="15.75" customHeight="1">
      <c r="A12" s="5">
        <v>45666.0</v>
      </c>
      <c r="B12" s="6" t="s">
        <v>28</v>
      </c>
      <c r="C12" s="6" t="s">
        <v>29</v>
      </c>
      <c r="D12" s="6" t="s">
        <v>30</v>
      </c>
      <c r="E12" s="6">
        <v>550.0</v>
      </c>
      <c r="F12" s="6">
        <v>0.0</v>
      </c>
      <c r="G12" s="6">
        <v>550.0</v>
      </c>
      <c r="H12" s="6">
        <v>0.0</v>
      </c>
      <c r="I12" s="6">
        <v>0.0</v>
      </c>
      <c r="J12" s="6">
        <v>550.0</v>
      </c>
      <c r="K12" s="6">
        <v>0.0</v>
      </c>
      <c r="L12" s="4"/>
    </row>
    <row r="13" ht="15.75" customHeight="1">
      <c r="B13" s="6" t="s">
        <v>31</v>
      </c>
      <c r="C13" s="6" t="s">
        <v>32</v>
      </c>
      <c r="D13" s="6" t="s">
        <v>33</v>
      </c>
      <c r="E13" s="6">
        <v>100.0</v>
      </c>
      <c r="F13" s="6">
        <v>100.0</v>
      </c>
      <c r="G13" s="6">
        <v>0.0</v>
      </c>
      <c r="H13" s="6">
        <v>0.0</v>
      </c>
      <c r="I13" s="6">
        <v>0.0</v>
      </c>
      <c r="J13" s="6">
        <v>100.0</v>
      </c>
      <c r="K13" s="6">
        <v>0.0</v>
      </c>
      <c r="L13" s="4"/>
    </row>
    <row r="14" ht="15.75" customHeight="1">
      <c r="B14" s="6" t="s">
        <v>34</v>
      </c>
      <c r="C14" s="6" t="s">
        <v>35</v>
      </c>
      <c r="D14" s="6" t="s">
        <v>36</v>
      </c>
      <c r="E14" s="6">
        <v>105.0</v>
      </c>
      <c r="F14" s="6">
        <v>0.0</v>
      </c>
      <c r="G14" s="6">
        <v>105.0</v>
      </c>
      <c r="H14" s="6">
        <v>0.0</v>
      </c>
      <c r="I14" s="6">
        <v>0.0</v>
      </c>
      <c r="J14" s="6">
        <v>70.0</v>
      </c>
      <c r="K14" s="6">
        <v>35.0</v>
      </c>
      <c r="L14" s="4"/>
    </row>
    <row r="15" ht="15.75" customHeight="1">
      <c r="B15" s="6" t="s">
        <v>37</v>
      </c>
      <c r="C15" s="6" t="s">
        <v>38</v>
      </c>
      <c r="D15" s="6" t="s">
        <v>39</v>
      </c>
      <c r="E15" s="6">
        <v>600.0</v>
      </c>
      <c r="F15" s="6">
        <v>200.0</v>
      </c>
      <c r="G15" s="6">
        <v>400.0</v>
      </c>
      <c r="H15" s="6">
        <v>0.0</v>
      </c>
      <c r="I15" s="6">
        <v>0.0</v>
      </c>
      <c r="J15" s="6">
        <v>500.0</v>
      </c>
      <c r="K15" s="6">
        <v>100.0</v>
      </c>
      <c r="L15" s="4"/>
    </row>
    <row r="16" ht="15.75" customHeight="1">
      <c r="E16" s="6">
        <f t="shared" ref="E16:K16" si="1">SUM(E12:E15)</f>
        <v>1355</v>
      </c>
      <c r="F16" s="6">
        <f t="shared" si="1"/>
        <v>300</v>
      </c>
      <c r="G16" s="6">
        <f t="shared" si="1"/>
        <v>1055</v>
      </c>
      <c r="H16" s="6">
        <f t="shared" si="1"/>
        <v>0</v>
      </c>
      <c r="I16" s="6">
        <f t="shared" si="1"/>
        <v>0</v>
      </c>
      <c r="J16" s="6">
        <f t="shared" si="1"/>
        <v>1220</v>
      </c>
      <c r="K16" s="6">
        <f t="shared" si="1"/>
        <v>135</v>
      </c>
      <c r="L16" s="4">
        <v>1355.0</v>
      </c>
      <c r="M16" s="6">
        <v>1355.0</v>
      </c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4"/>
    </row>
    <row r="18" ht="15.75" customHeight="1">
      <c r="A18" s="5">
        <v>45670.0</v>
      </c>
      <c r="B18" s="6" t="s">
        <v>40</v>
      </c>
      <c r="C18" s="6" t="s">
        <v>41</v>
      </c>
      <c r="D18" s="6" t="s">
        <v>42</v>
      </c>
      <c r="E18" s="6">
        <v>1350.0</v>
      </c>
      <c r="F18" s="6">
        <v>1000.0</v>
      </c>
      <c r="G18" s="6">
        <v>350.0</v>
      </c>
      <c r="H18" s="6">
        <v>0.0</v>
      </c>
      <c r="I18" s="6">
        <v>0.0</v>
      </c>
      <c r="J18" s="6">
        <v>1350.0</v>
      </c>
      <c r="K18" s="6">
        <v>0.0</v>
      </c>
      <c r="L18" s="4"/>
    </row>
    <row r="19" ht="15.75" customHeight="1">
      <c r="B19" s="6" t="s">
        <v>43</v>
      </c>
      <c r="C19" s="6" t="s">
        <v>44</v>
      </c>
      <c r="D19" s="6" t="s">
        <v>45</v>
      </c>
      <c r="E19" s="6">
        <v>500.0</v>
      </c>
      <c r="F19" s="6">
        <v>0.0</v>
      </c>
      <c r="G19" s="6">
        <v>0.0</v>
      </c>
      <c r="H19" s="6">
        <v>500.0</v>
      </c>
      <c r="I19" s="6">
        <v>0.0</v>
      </c>
      <c r="J19" s="6">
        <v>500.0</v>
      </c>
      <c r="K19" s="6">
        <v>0.0</v>
      </c>
      <c r="L19" s="4"/>
    </row>
    <row r="20" ht="15.75" customHeight="1">
      <c r="E20" s="6">
        <f t="shared" ref="E20:H20" si="2">SUM(E18:E19)</f>
        <v>1850</v>
      </c>
      <c r="F20" s="6">
        <f t="shared" si="2"/>
        <v>1000</v>
      </c>
      <c r="G20" s="6">
        <f t="shared" si="2"/>
        <v>350</v>
      </c>
      <c r="H20" s="6">
        <f t="shared" si="2"/>
        <v>500</v>
      </c>
      <c r="J20" s="6">
        <f>SUM(J18:J19)</f>
        <v>1850</v>
      </c>
      <c r="L20" s="4">
        <v>1850.0</v>
      </c>
      <c r="M20" s="6">
        <v>1850.0</v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4"/>
    </row>
    <row r="22" ht="15.75" customHeight="1">
      <c r="A22" s="5">
        <v>45671.0</v>
      </c>
      <c r="B22" s="6" t="s">
        <v>46</v>
      </c>
      <c r="C22" s="6" t="s">
        <v>47</v>
      </c>
      <c r="D22" s="6" t="s">
        <v>48</v>
      </c>
      <c r="E22" s="6">
        <v>1400.0</v>
      </c>
      <c r="F22" s="6">
        <v>1100.0</v>
      </c>
      <c r="G22" s="6">
        <v>300.0</v>
      </c>
      <c r="H22" s="6">
        <v>0.0</v>
      </c>
      <c r="I22" s="6">
        <v>0.0</v>
      </c>
      <c r="J22" s="6">
        <v>1400.0</v>
      </c>
      <c r="K22" s="6">
        <v>0.0</v>
      </c>
      <c r="L22" s="4"/>
    </row>
    <row r="23" ht="15.75" customHeight="1">
      <c r="B23" s="6" t="s">
        <v>49</v>
      </c>
      <c r="C23" s="6" t="s">
        <v>50</v>
      </c>
      <c r="D23" s="6" t="s">
        <v>51</v>
      </c>
      <c r="E23" s="6">
        <v>300.0</v>
      </c>
      <c r="F23" s="6">
        <v>0.0</v>
      </c>
      <c r="G23" s="6">
        <v>300.0</v>
      </c>
      <c r="H23" s="6">
        <v>0.0</v>
      </c>
      <c r="I23" s="6">
        <v>0.0</v>
      </c>
      <c r="J23" s="6">
        <v>300.0</v>
      </c>
      <c r="K23" s="6">
        <v>0.0</v>
      </c>
      <c r="L23" s="4"/>
    </row>
    <row r="24" ht="15.75" customHeight="1">
      <c r="B24" s="6" t="s">
        <v>52</v>
      </c>
      <c r="C24" s="6" t="s">
        <v>53</v>
      </c>
      <c r="D24" s="6" t="s">
        <v>54</v>
      </c>
      <c r="E24" s="6">
        <v>20.0</v>
      </c>
      <c r="F24" s="6">
        <v>20.0</v>
      </c>
      <c r="G24" s="6">
        <v>0.0</v>
      </c>
      <c r="H24" s="6">
        <v>0.0</v>
      </c>
      <c r="I24" s="6">
        <v>0.0</v>
      </c>
      <c r="J24" s="6">
        <v>20.0</v>
      </c>
      <c r="K24" s="6">
        <v>0.0</v>
      </c>
      <c r="L24" s="4"/>
    </row>
    <row r="25" ht="15.75" customHeight="1">
      <c r="B25" s="6" t="s">
        <v>55</v>
      </c>
      <c r="C25" s="6" t="s">
        <v>56</v>
      </c>
      <c r="D25" s="6" t="s">
        <v>16</v>
      </c>
      <c r="E25" s="6">
        <v>600.0</v>
      </c>
      <c r="F25" s="6">
        <v>600.0</v>
      </c>
      <c r="G25" s="6">
        <v>0.0</v>
      </c>
      <c r="H25" s="6">
        <v>0.0</v>
      </c>
      <c r="I25" s="6">
        <v>0.0</v>
      </c>
      <c r="J25" s="6">
        <v>600.0</v>
      </c>
      <c r="K25" s="6">
        <v>0.0</v>
      </c>
      <c r="L25" s="4"/>
    </row>
    <row r="26" ht="15.75" customHeight="1">
      <c r="B26" s="6" t="s">
        <v>57</v>
      </c>
      <c r="C26" s="6" t="s">
        <v>58</v>
      </c>
      <c r="D26" s="6" t="s">
        <v>59</v>
      </c>
      <c r="E26" s="6">
        <v>50.0</v>
      </c>
      <c r="F26" s="6">
        <v>0.0</v>
      </c>
      <c r="G26" s="6">
        <v>50.0</v>
      </c>
      <c r="H26" s="6">
        <v>0.0</v>
      </c>
      <c r="I26" s="6">
        <v>0.0</v>
      </c>
      <c r="J26" s="6">
        <v>50.0</v>
      </c>
      <c r="K26" s="6">
        <v>0.0</v>
      </c>
      <c r="L26" s="4"/>
    </row>
    <row r="27" ht="15.75" customHeight="1">
      <c r="B27" s="6" t="s">
        <v>60</v>
      </c>
      <c r="C27" s="6" t="s">
        <v>61</v>
      </c>
      <c r="D27" s="6" t="s">
        <v>62</v>
      </c>
      <c r="E27" s="6">
        <v>200.0</v>
      </c>
      <c r="F27" s="6">
        <v>200.0</v>
      </c>
      <c r="G27" s="6">
        <v>0.0</v>
      </c>
      <c r="H27" s="6">
        <v>0.0</v>
      </c>
      <c r="I27" s="6">
        <v>0.0</v>
      </c>
      <c r="J27" s="6">
        <v>200.0</v>
      </c>
      <c r="K27" s="6">
        <v>0.0</v>
      </c>
      <c r="L27" s="4"/>
    </row>
    <row r="28" ht="15.75" customHeight="1">
      <c r="B28" s="6" t="s">
        <v>63</v>
      </c>
      <c r="C28" s="6" t="s">
        <v>64</v>
      </c>
      <c r="D28" s="6" t="s">
        <v>65</v>
      </c>
      <c r="E28" s="6">
        <v>50.0</v>
      </c>
      <c r="F28" s="6">
        <v>0.0</v>
      </c>
      <c r="G28" s="6">
        <v>50.0</v>
      </c>
      <c r="H28" s="6">
        <v>0.0</v>
      </c>
      <c r="I28" s="6">
        <v>0.0</v>
      </c>
      <c r="J28" s="6">
        <v>50.0</v>
      </c>
      <c r="K28" s="6">
        <v>0.0</v>
      </c>
      <c r="L28" s="4"/>
    </row>
    <row r="29" ht="15.75" customHeight="1">
      <c r="E29" s="6">
        <f t="shared" ref="E29:G29" si="3">SUM(E22:E28)</f>
        <v>2620</v>
      </c>
      <c r="F29" s="6">
        <f t="shared" si="3"/>
        <v>1920</v>
      </c>
      <c r="G29" s="6">
        <f t="shared" si="3"/>
        <v>700</v>
      </c>
      <c r="J29" s="6">
        <f>SUM(J22:J28)</f>
        <v>2620</v>
      </c>
      <c r="L29" s="4">
        <v>2620.0</v>
      </c>
      <c r="M29" s="6">
        <v>2620.0</v>
      </c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4"/>
    </row>
    <row r="31" ht="15.75" customHeight="1">
      <c r="A31" s="5">
        <v>45672.0</v>
      </c>
      <c r="B31" s="6" t="s">
        <v>66</v>
      </c>
      <c r="C31" s="6" t="s">
        <v>67</v>
      </c>
      <c r="D31" s="6" t="s">
        <v>62</v>
      </c>
      <c r="E31" s="6">
        <v>150.0</v>
      </c>
      <c r="F31" s="6">
        <v>150.0</v>
      </c>
      <c r="G31" s="6">
        <v>0.0</v>
      </c>
      <c r="H31" s="6">
        <v>0.0</v>
      </c>
      <c r="I31" s="6">
        <v>0.0</v>
      </c>
      <c r="J31" s="6">
        <v>150.0</v>
      </c>
      <c r="K31" s="6">
        <v>0.0</v>
      </c>
      <c r="L31" s="4"/>
    </row>
    <row r="32" ht="15.75" customHeight="1">
      <c r="B32" s="6" t="s">
        <v>68</v>
      </c>
      <c r="C32" s="6" t="s">
        <v>69</v>
      </c>
      <c r="D32" s="6" t="s">
        <v>70</v>
      </c>
      <c r="E32" s="6">
        <v>850.0</v>
      </c>
      <c r="F32" s="6">
        <v>850.0</v>
      </c>
      <c r="G32" s="6">
        <v>0.0</v>
      </c>
      <c r="H32" s="6">
        <v>0.0</v>
      </c>
      <c r="I32" s="6">
        <v>0.0</v>
      </c>
      <c r="J32" s="6">
        <v>750.0</v>
      </c>
      <c r="K32" s="6">
        <v>100.0</v>
      </c>
      <c r="L32" s="4"/>
    </row>
    <row r="33" ht="15.75" customHeight="1">
      <c r="B33" s="6" t="s">
        <v>71</v>
      </c>
      <c r="C33" s="6" t="s">
        <v>72</v>
      </c>
      <c r="D33" s="6" t="s">
        <v>73</v>
      </c>
      <c r="E33" s="6">
        <v>350.0</v>
      </c>
      <c r="F33" s="6">
        <v>300.0</v>
      </c>
      <c r="G33" s="6">
        <v>50.0</v>
      </c>
      <c r="H33" s="6">
        <v>0.0</v>
      </c>
      <c r="I33" s="6">
        <v>0.0</v>
      </c>
      <c r="J33" s="6">
        <v>350.0</v>
      </c>
      <c r="L33" s="4"/>
    </row>
    <row r="34" ht="15.75" customHeight="1">
      <c r="E34" s="6">
        <f>SUM(E31:E33)</f>
        <v>1350</v>
      </c>
      <c r="L34" s="4">
        <v>1350.0</v>
      </c>
      <c r="M34" s="6">
        <v>1350.0</v>
      </c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4"/>
    </row>
    <row r="36" ht="15.75" customHeight="1">
      <c r="A36" s="5">
        <v>45673.0</v>
      </c>
      <c r="B36" s="6" t="s">
        <v>74</v>
      </c>
      <c r="C36" s="6" t="s">
        <v>75</v>
      </c>
      <c r="D36" s="6" t="s">
        <v>76</v>
      </c>
      <c r="E36" s="6">
        <v>500.0</v>
      </c>
      <c r="F36" s="6">
        <v>0.0</v>
      </c>
      <c r="G36" s="6">
        <v>500.0</v>
      </c>
      <c r="H36" s="6">
        <v>0.0</v>
      </c>
      <c r="I36" s="6">
        <v>0.0</v>
      </c>
      <c r="J36" s="6">
        <v>500.0</v>
      </c>
      <c r="K36" s="6">
        <v>0.0</v>
      </c>
      <c r="L36" s="4"/>
    </row>
    <row r="37" ht="15.75" customHeight="1">
      <c r="B37" s="6" t="s">
        <v>77</v>
      </c>
      <c r="C37" s="6" t="s">
        <v>78</v>
      </c>
      <c r="D37" s="6" t="s">
        <v>79</v>
      </c>
      <c r="E37" s="6">
        <v>220.0</v>
      </c>
      <c r="F37" s="6">
        <v>200.0</v>
      </c>
      <c r="G37" s="6">
        <v>20.0</v>
      </c>
      <c r="H37" s="6">
        <v>0.0</v>
      </c>
      <c r="I37" s="6">
        <v>0.0</v>
      </c>
      <c r="J37" s="6">
        <v>220.0</v>
      </c>
      <c r="K37" s="6">
        <v>0.0</v>
      </c>
      <c r="L37" s="4"/>
    </row>
    <row r="38" ht="15.75" customHeight="1">
      <c r="E38" s="6">
        <f>SUM(E35:E37)</f>
        <v>720</v>
      </c>
      <c r="F38" s="6">
        <f t="shared" ref="F38:G38" si="4">SUM(F36:F37)</f>
        <v>200</v>
      </c>
      <c r="G38" s="6">
        <f t="shared" si="4"/>
        <v>520</v>
      </c>
      <c r="J38" s="6">
        <f>SUM(J36:J37)</f>
        <v>720</v>
      </c>
      <c r="L38" s="4">
        <v>720.0</v>
      </c>
      <c r="M38" s="6">
        <v>720.0</v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4"/>
    </row>
    <row r="40" ht="15.75" customHeight="1">
      <c r="A40" s="5">
        <v>45311.0</v>
      </c>
      <c r="B40" s="6" t="s">
        <v>80</v>
      </c>
      <c r="C40" s="6" t="s">
        <v>81</v>
      </c>
      <c r="D40" s="6" t="s">
        <v>82</v>
      </c>
      <c r="E40" s="6">
        <v>40.0</v>
      </c>
      <c r="F40" s="6">
        <v>40.0</v>
      </c>
      <c r="G40" s="6">
        <v>0.0</v>
      </c>
      <c r="H40" s="6">
        <v>0.0</v>
      </c>
      <c r="I40" s="6">
        <v>0.0</v>
      </c>
      <c r="J40" s="6">
        <v>0.0</v>
      </c>
      <c r="K40" s="6">
        <v>40.0</v>
      </c>
      <c r="L40" s="4"/>
    </row>
    <row r="41" ht="15.75" customHeight="1">
      <c r="B41" s="6" t="s">
        <v>83</v>
      </c>
      <c r="C41" s="6" t="s">
        <v>84</v>
      </c>
      <c r="D41" s="6" t="s">
        <v>33</v>
      </c>
      <c r="E41" s="6">
        <v>100.0</v>
      </c>
      <c r="F41" s="6">
        <v>100.0</v>
      </c>
      <c r="G41" s="6">
        <v>0.0</v>
      </c>
      <c r="H41" s="6">
        <v>0.0</v>
      </c>
      <c r="I41" s="6">
        <v>0.0</v>
      </c>
      <c r="J41" s="6">
        <v>100.0</v>
      </c>
      <c r="K41" s="6">
        <v>0.0</v>
      </c>
      <c r="L41" s="4"/>
    </row>
    <row r="42" ht="15.75" customHeight="1">
      <c r="B42" s="6" t="s">
        <v>63</v>
      </c>
      <c r="C42" s="6" t="s">
        <v>85</v>
      </c>
      <c r="D42" s="6" t="s">
        <v>86</v>
      </c>
      <c r="E42" s="6">
        <v>300.0</v>
      </c>
      <c r="F42" s="6">
        <v>0.0</v>
      </c>
      <c r="G42" s="6">
        <v>300.0</v>
      </c>
      <c r="H42" s="6">
        <v>0.0</v>
      </c>
      <c r="I42" s="6">
        <v>0.0</v>
      </c>
      <c r="J42" s="6">
        <v>300.0</v>
      </c>
      <c r="K42" s="6">
        <v>0.0</v>
      </c>
      <c r="L42" s="4"/>
    </row>
    <row r="43" ht="15.75" customHeight="1">
      <c r="A43" s="6" t="s">
        <v>87</v>
      </c>
      <c r="E43" s="6">
        <f>SUM(E40:E42)</f>
        <v>440</v>
      </c>
      <c r="L43" s="4"/>
    </row>
    <row r="44" ht="15.75" customHeight="1">
      <c r="A44" s="6" t="s">
        <v>88</v>
      </c>
      <c r="L44" s="4"/>
    </row>
    <row r="45" ht="15.75" customHeight="1">
      <c r="B45" s="6" t="s">
        <v>89</v>
      </c>
      <c r="C45" s="6" t="s">
        <v>90</v>
      </c>
      <c r="D45" s="6" t="s">
        <v>91</v>
      </c>
      <c r="E45" s="6">
        <v>400.0</v>
      </c>
      <c r="F45" s="6">
        <v>0.0</v>
      </c>
      <c r="G45" s="6">
        <v>400.0</v>
      </c>
      <c r="H45" s="6">
        <v>0.0</v>
      </c>
      <c r="I45" s="6">
        <v>0.0</v>
      </c>
      <c r="J45" s="6">
        <v>400.0</v>
      </c>
      <c r="K45" s="6">
        <v>0.0</v>
      </c>
      <c r="L45" s="4"/>
    </row>
    <row r="46" ht="15.75" customHeight="1">
      <c r="B46" s="6" t="s">
        <v>92</v>
      </c>
      <c r="C46" s="6" t="s">
        <v>93</v>
      </c>
      <c r="D46" s="6" t="s">
        <v>94</v>
      </c>
      <c r="E46" s="6">
        <v>400.0</v>
      </c>
      <c r="F46" s="6">
        <v>350.0</v>
      </c>
      <c r="G46" s="6">
        <v>50.0</v>
      </c>
      <c r="H46" s="6">
        <v>0.0</v>
      </c>
      <c r="I46" s="6">
        <v>0.0</v>
      </c>
      <c r="J46" s="6">
        <v>850.0</v>
      </c>
      <c r="K46" s="6">
        <v>0.0</v>
      </c>
      <c r="L46" s="4"/>
    </row>
    <row r="47" ht="15.75" customHeight="1">
      <c r="B47" s="6" t="s">
        <v>95</v>
      </c>
      <c r="C47" s="6" t="s">
        <v>96</v>
      </c>
      <c r="D47" s="6" t="s">
        <v>97</v>
      </c>
      <c r="E47" s="6">
        <v>100.0</v>
      </c>
      <c r="F47" s="6">
        <v>0.0</v>
      </c>
      <c r="G47" s="6">
        <v>100.0</v>
      </c>
      <c r="H47" s="6"/>
      <c r="I47" s="6"/>
      <c r="J47" s="6"/>
      <c r="K47" s="6"/>
      <c r="L47" s="4"/>
    </row>
    <row r="48" ht="15.75" customHeight="1">
      <c r="B48" s="6" t="s">
        <v>98</v>
      </c>
      <c r="C48" s="6" t="s">
        <v>99</v>
      </c>
      <c r="D48" s="6" t="s">
        <v>51</v>
      </c>
      <c r="E48" s="6">
        <v>350.0</v>
      </c>
      <c r="F48" s="6">
        <v>350.0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4"/>
    </row>
    <row r="49" ht="15.75" customHeight="1">
      <c r="B49" s="6"/>
      <c r="C49" s="6"/>
      <c r="D49" s="6"/>
      <c r="E49" s="6">
        <f>SUM(E45:E48)</f>
        <v>1250</v>
      </c>
      <c r="F49" s="6"/>
      <c r="G49" s="6"/>
      <c r="H49" s="6"/>
      <c r="I49" s="6"/>
      <c r="J49" s="6"/>
      <c r="K49" s="6"/>
      <c r="L49" s="4"/>
    </row>
    <row r="50" ht="15.75" customHeight="1">
      <c r="E50" s="6" t="s">
        <v>100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4"/>
    </row>
    <row r="51" ht="15.75" customHeight="1">
      <c r="E51" s="6">
        <v>1690.0</v>
      </c>
      <c r="F51" s="6">
        <f t="shared" ref="F51:G51" si="5">SUM(F40:F50)</f>
        <v>840</v>
      </c>
      <c r="G51" s="6">
        <f t="shared" si="5"/>
        <v>850</v>
      </c>
      <c r="H51" s="6">
        <v>0.0</v>
      </c>
      <c r="I51" s="6">
        <v>0.0</v>
      </c>
      <c r="J51" s="6">
        <f>SUM(J39:J50)</f>
        <v>1650</v>
      </c>
      <c r="K51" s="6">
        <v>0.0</v>
      </c>
      <c r="L51" s="4">
        <v>1650.0</v>
      </c>
      <c r="M51" s="6">
        <v>1690.0</v>
      </c>
      <c r="N51" s="6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 t="s">
        <v>101</v>
      </c>
      <c r="K52" s="7" t="s">
        <v>102</v>
      </c>
      <c r="L52" s="8">
        <v>19557.723</v>
      </c>
    </row>
    <row r="53" ht="15.75" customHeight="1">
      <c r="A53" s="5">
        <v>45678.0</v>
      </c>
      <c r="B53" s="6" t="s">
        <v>66</v>
      </c>
      <c r="C53" s="6" t="s">
        <v>103</v>
      </c>
      <c r="D53" s="6" t="s">
        <v>104</v>
      </c>
      <c r="E53" s="6">
        <v>750.0</v>
      </c>
      <c r="F53" s="6">
        <v>400.0</v>
      </c>
      <c r="G53" s="6">
        <v>350.0</v>
      </c>
      <c r="H53" s="6">
        <v>0.0</v>
      </c>
      <c r="I53" s="6">
        <v>0.0</v>
      </c>
      <c r="J53" s="6">
        <v>750.0</v>
      </c>
      <c r="K53" s="6">
        <v>0.0</v>
      </c>
      <c r="L53" s="4"/>
    </row>
    <row r="54" ht="15.75" customHeight="1">
      <c r="B54" s="6" t="s">
        <v>40</v>
      </c>
      <c r="C54" s="6" t="s">
        <v>105</v>
      </c>
      <c r="D54" s="6" t="s">
        <v>106</v>
      </c>
      <c r="E54" s="6">
        <v>350.0</v>
      </c>
      <c r="F54" s="6">
        <v>0.0</v>
      </c>
      <c r="G54" s="6">
        <v>350.0</v>
      </c>
      <c r="H54" s="6">
        <v>0.0</v>
      </c>
      <c r="I54" s="6">
        <v>0.0</v>
      </c>
      <c r="J54" s="6">
        <v>350.0</v>
      </c>
      <c r="K54" s="6">
        <v>0.0</v>
      </c>
      <c r="L54" s="4"/>
    </row>
    <row r="55" ht="15.75" customHeight="1">
      <c r="B55" s="6" t="s">
        <v>107</v>
      </c>
      <c r="C55" s="6" t="s">
        <v>108</v>
      </c>
      <c r="D55" s="6" t="s">
        <v>65</v>
      </c>
      <c r="E55" s="6">
        <v>50.0</v>
      </c>
      <c r="F55" s="6">
        <v>0.0</v>
      </c>
      <c r="G55" s="6">
        <v>0.0</v>
      </c>
      <c r="H55" s="6">
        <v>50.0</v>
      </c>
      <c r="I55" s="6">
        <v>0.0</v>
      </c>
      <c r="J55" s="6">
        <v>50.0</v>
      </c>
      <c r="K55" s="6">
        <v>0.0</v>
      </c>
      <c r="L55" s="4"/>
    </row>
    <row r="56" ht="15.75" customHeight="1">
      <c r="B56" s="6" t="s">
        <v>109</v>
      </c>
      <c r="C56" s="6" t="s">
        <v>110</v>
      </c>
      <c r="D56" s="6" t="s">
        <v>111</v>
      </c>
      <c r="E56" s="6">
        <v>100.0</v>
      </c>
      <c r="F56" s="6">
        <v>100.0</v>
      </c>
      <c r="G56" s="6">
        <v>0.0</v>
      </c>
      <c r="H56" s="6">
        <v>0.0</v>
      </c>
      <c r="I56" s="6">
        <v>0.0</v>
      </c>
      <c r="J56" s="6">
        <v>100.0</v>
      </c>
      <c r="K56" s="6">
        <v>0.0</v>
      </c>
      <c r="L56" s="4"/>
    </row>
    <row r="57" ht="15.75" customHeight="1">
      <c r="E57" s="6">
        <f t="shared" ref="E57:H57" si="6">SUM(E53:E56)</f>
        <v>1250</v>
      </c>
      <c r="F57" s="6">
        <f t="shared" si="6"/>
        <v>500</v>
      </c>
      <c r="G57" s="6">
        <f t="shared" si="6"/>
        <v>700</v>
      </c>
      <c r="H57" s="6">
        <f t="shared" si="6"/>
        <v>50</v>
      </c>
      <c r="I57" s="6">
        <v>0.0</v>
      </c>
      <c r="J57" s="6">
        <f>SUM(J53:J56)</f>
        <v>1250</v>
      </c>
      <c r="K57" s="6">
        <v>0.0</v>
      </c>
      <c r="L57" s="4">
        <v>1250.0</v>
      </c>
      <c r="M57" s="6">
        <v>1250.0</v>
      </c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4"/>
    </row>
    <row r="59" ht="15.75" customHeight="1">
      <c r="A59" s="5">
        <v>45679.0</v>
      </c>
      <c r="B59" s="6" t="s">
        <v>112</v>
      </c>
      <c r="C59" s="6" t="s">
        <v>113</v>
      </c>
      <c r="D59" s="6" t="s">
        <v>114</v>
      </c>
      <c r="E59" s="6">
        <v>90.0</v>
      </c>
      <c r="F59" s="6">
        <v>90.0</v>
      </c>
      <c r="G59" s="6">
        <v>0.0</v>
      </c>
      <c r="H59" s="6">
        <v>0.0</v>
      </c>
      <c r="I59" s="6">
        <v>0.0</v>
      </c>
      <c r="J59" s="6">
        <v>50.0</v>
      </c>
      <c r="K59" s="6">
        <v>40.0</v>
      </c>
      <c r="L59" s="4"/>
    </row>
    <row r="60" ht="15.75" customHeight="1">
      <c r="B60" s="6" t="s">
        <v>115</v>
      </c>
      <c r="C60" s="6" t="s">
        <v>116</v>
      </c>
      <c r="D60" s="6" t="s">
        <v>117</v>
      </c>
      <c r="E60" s="6">
        <v>500.0</v>
      </c>
      <c r="F60" s="6">
        <v>500.0</v>
      </c>
      <c r="G60" s="6">
        <v>0.0</v>
      </c>
      <c r="H60" s="6">
        <v>0.0</v>
      </c>
      <c r="I60" s="6">
        <v>0.0</v>
      </c>
      <c r="J60" s="6">
        <v>500.0</v>
      </c>
      <c r="K60" s="6">
        <v>0.0</v>
      </c>
      <c r="L60" s="4"/>
    </row>
    <row r="61" ht="15.75" customHeight="1">
      <c r="E61" s="6">
        <f t="shared" ref="E61:F61" si="7">SUM(E59:E60)</f>
        <v>590</v>
      </c>
      <c r="F61" s="6">
        <f t="shared" si="7"/>
        <v>590</v>
      </c>
      <c r="G61" s="6">
        <v>0.0</v>
      </c>
      <c r="H61" s="6">
        <v>0.0</v>
      </c>
      <c r="I61" s="6">
        <v>0.0</v>
      </c>
      <c r="J61" s="6">
        <f t="shared" ref="J61:K61" si="8">SUM(J59:J60)</f>
        <v>550</v>
      </c>
      <c r="K61" s="6">
        <f t="shared" si="8"/>
        <v>40</v>
      </c>
      <c r="L61" s="4">
        <v>590.0</v>
      </c>
      <c r="M61" s="6">
        <v>590.0</v>
      </c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4"/>
    </row>
    <row r="63" ht="15.75" customHeight="1">
      <c r="A63" s="5">
        <v>45680.0</v>
      </c>
      <c r="B63" s="6" t="s">
        <v>118</v>
      </c>
      <c r="C63" s="6" t="s">
        <v>119</v>
      </c>
      <c r="D63" s="6" t="s">
        <v>22</v>
      </c>
      <c r="E63" s="6">
        <v>100.0</v>
      </c>
      <c r="F63" s="6">
        <v>100.0</v>
      </c>
      <c r="G63" s="6">
        <v>0.0</v>
      </c>
      <c r="H63" s="6">
        <v>0.0</v>
      </c>
      <c r="I63" s="6">
        <v>0.0</v>
      </c>
      <c r="J63" s="6">
        <v>100.0</v>
      </c>
      <c r="K63" s="6">
        <v>0.0</v>
      </c>
      <c r="L63" s="4"/>
    </row>
    <row r="64" ht="15.75" customHeight="1">
      <c r="B64" s="6" t="s">
        <v>120</v>
      </c>
      <c r="C64" s="6" t="s">
        <v>121</v>
      </c>
      <c r="D64" s="6" t="s">
        <v>22</v>
      </c>
      <c r="E64" s="6">
        <v>100.0</v>
      </c>
      <c r="F64" s="6">
        <v>0.0</v>
      </c>
      <c r="G64" s="6">
        <v>100.0</v>
      </c>
      <c r="H64" s="6">
        <v>0.0</v>
      </c>
      <c r="I64" s="6">
        <v>0.0</v>
      </c>
      <c r="J64" s="6">
        <v>100.0</v>
      </c>
      <c r="K64" s="6">
        <v>0.0</v>
      </c>
      <c r="L64" s="4"/>
    </row>
    <row r="65" ht="15.75" customHeight="1">
      <c r="B65" s="6" t="s">
        <v>122</v>
      </c>
      <c r="C65" s="6" t="s">
        <v>123</v>
      </c>
      <c r="D65" s="6" t="s">
        <v>22</v>
      </c>
      <c r="E65" s="6">
        <v>100.0</v>
      </c>
      <c r="F65" s="6">
        <v>0.0</v>
      </c>
      <c r="G65" s="6">
        <v>100.0</v>
      </c>
      <c r="H65" s="6">
        <v>0.0</v>
      </c>
      <c r="I65" s="6">
        <v>0.0</v>
      </c>
      <c r="J65" s="6">
        <v>100.0</v>
      </c>
      <c r="K65" s="6">
        <v>0.0</v>
      </c>
      <c r="L65" s="4"/>
    </row>
    <row r="66" ht="15.75" customHeight="1">
      <c r="C66" s="6" t="s">
        <v>124</v>
      </c>
      <c r="D66" s="6" t="s">
        <v>65</v>
      </c>
      <c r="E66" s="6">
        <v>50.0</v>
      </c>
      <c r="F66" s="6">
        <v>0.0</v>
      </c>
      <c r="G66" s="6">
        <v>0.0</v>
      </c>
      <c r="H66" s="6">
        <v>50.0</v>
      </c>
      <c r="I66" s="6">
        <v>0.0</v>
      </c>
      <c r="J66" s="6">
        <v>50.0</v>
      </c>
      <c r="K66" s="6">
        <v>0.0</v>
      </c>
      <c r="L66" s="4"/>
    </row>
    <row r="67" ht="15.75" customHeight="1">
      <c r="E67" s="6">
        <f t="shared" ref="E67:K67" si="9">SUM(E63:E66)</f>
        <v>350</v>
      </c>
      <c r="F67" s="6">
        <f t="shared" si="9"/>
        <v>100</v>
      </c>
      <c r="G67" s="6">
        <f t="shared" si="9"/>
        <v>200</v>
      </c>
      <c r="H67" s="6">
        <f t="shared" si="9"/>
        <v>50</v>
      </c>
      <c r="I67" s="6">
        <f t="shared" si="9"/>
        <v>0</v>
      </c>
      <c r="J67" s="6">
        <f t="shared" si="9"/>
        <v>350</v>
      </c>
      <c r="K67" s="6">
        <f t="shared" si="9"/>
        <v>0</v>
      </c>
      <c r="L67" s="4"/>
      <c r="M67" s="6">
        <v>350.0</v>
      </c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4"/>
      <c r="M68" s="6">
        <f>SUM(M3:M67)</f>
        <v>13925</v>
      </c>
    </row>
    <row r="69" ht="15.75" customHeight="1">
      <c r="A69" s="5">
        <v>45684.0</v>
      </c>
      <c r="B69" s="6" t="s">
        <v>125</v>
      </c>
      <c r="C69" s="6" t="s">
        <v>126</v>
      </c>
      <c r="D69" s="6" t="s">
        <v>127</v>
      </c>
      <c r="E69" s="6">
        <v>300.0</v>
      </c>
      <c r="F69" s="6">
        <v>0.0</v>
      </c>
      <c r="G69" s="6">
        <v>300.0</v>
      </c>
      <c r="H69" s="6">
        <v>0.0</v>
      </c>
      <c r="I69" s="6">
        <v>300.0</v>
      </c>
      <c r="J69" s="6">
        <v>0.0</v>
      </c>
      <c r="K69" s="6">
        <v>0.0</v>
      </c>
      <c r="L69" s="4">
        <v>0.0</v>
      </c>
    </row>
    <row r="70" ht="15.75" customHeight="1">
      <c r="B70" s="6" t="s">
        <v>128</v>
      </c>
      <c r="C70" s="6" t="s">
        <v>129</v>
      </c>
      <c r="E70" s="6">
        <v>285.0</v>
      </c>
      <c r="F70" s="6">
        <v>0.0</v>
      </c>
      <c r="G70" s="6">
        <v>285.0</v>
      </c>
      <c r="H70" s="6">
        <v>0.0</v>
      </c>
      <c r="I70" s="6">
        <v>0.0</v>
      </c>
      <c r="J70" s="6">
        <v>0.0</v>
      </c>
      <c r="K70" s="6">
        <v>250.0</v>
      </c>
      <c r="L70" s="4">
        <v>35.0</v>
      </c>
    </row>
    <row r="71" ht="15.75" customHeight="1">
      <c r="B71" s="6" t="s">
        <v>130</v>
      </c>
      <c r="C71" s="6" t="s">
        <v>131</v>
      </c>
      <c r="D71" s="6" t="s">
        <v>132</v>
      </c>
      <c r="E71" s="6">
        <v>600.0</v>
      </c>
      <c r="F71" s="6">
        <v>0.0</v>
      </c>
      <c r="G71" s="6">
        <v>600.0</v>
      </c>
      <c r="H71" s="6">
        <v>0.0</v>
      </c>
      <c r="I71" s="6">
        <v>0.0</v>
      </c>
      <c r="J71" s="6">
        <v>0.0</v>
      </c>
      <c r="K71" s="6">
        <v>600.0</v>
      </c>
      <c r="L71" s="4">
        <v>0.0</v>
      </c>
    </row>
    <row r="72" ht="15.75" customHeight="1">
      <c r="B72" s="6" t="s">
        <v>133</v>
      </c>
      <c r="C72" s="6" t="s">
        <v>134</v>
      </c>
      <c r="D72" s="6" t="s">
        <v>135</v>
      </c>
      <c r="E72" s="6">
        <v>600.0</v>
      </c>
      <c r="F72" s="6">
        <v>600.0</v>
      </c>
      <c r="G72" s="6">
        <v>0.0</v>
      </c>
      <c r="H72" s="6">
        <v>0.0</v>
      </c>
      <c r="I72" s="6">
        <v>0.0</v>
      </c>
      <c r="J72" s="6">
        <v>0.0</v>
      </c>
      <c r="K72" s="6">
        <v>600.0</v>
      </c>
      <c r="L72" s="4">
        <v>0.0</v>
      </c>
    </row>
    <row r="73" ht="15.75" customHeight="1">
      <c r="B73" s="6" t="s">
        <v>136</v>
      </c>
      <c r="C73" s="6" t="s">
        <v>137</v>
      </c>
      <c r="D73" s="6" t="s">
        <v>138</v>
      </c>
      <c r="E73" s="6">
        <v>500.0</v>
      </c>
      <c r="F73" s="6">
        <v>500.0</v>
      </c>
      <c r="G73" s="6">
        <v>0.0</v>
      </c>
      <c r="H73" s="6">
        <v>0.0</v>
      </c>
      <c r="I73" s="6">
        <v>0.0</v>
      </c>
      <c r="J73" s="6">
        <v>0.0</v>
      </c>
      <c r="K73" s="6">
        <v>500.0</v>
      </c>
      <c r="L73" s="4">
        <v>0.0</v>
      </c>
    </row>
    <row r="74" ht="15.75" customHeight="1">
      <c r="B74" s="6" t="s">
        <v>139</v>
      </c>
      <c r="C74" s="6" t="s">
        <v>140</v>
      </c>
      <c r="D74" s="6" t="s">
        <v>141</v>
      </c>
      <c r="E74" s="6">
        <v>350.0</v>
      </c>
      <c r="F74" s="6">
        <v>350.0</v>
      </c>
      <c r="G74" s="6">
        <v>0.0</v>
      </c>
      <c r="H74" s="6">
        <v>0.0</v>
      </c>
      <c r="I74" s="6">
        <v>0.0</v>
      </c>
      <c r="J74" s="6">
        <v>0.0</v>
      </c>
      <c r="K74" s="6">
        <v>350.0</v>
      </c>
      <c r="L74" s="4">
        <v>0.0</v>
      </c>
    </row>
    <row r="75" ht="15.75" customHeight="1">
      <c r="E75" s="6">
        <f t="shared" ref="E75:G75" si="10">SUM(E69:E74)</f>
        <v>2635</v>
      </c>
      <c r="F75" s="6">
        <f t="shared" si="10"/>
        <v>1450</v>
      </c>
      <c r="G75" s="6">
        <f t="shared" si="10"/>
        <v>1185</v>
      </c>
      <c r="H75" s="6">
        <v>0.0</v>
      </c>
      <c r="I75" s="6">
        <v>0.0</v>
      </c>
      <c r="J75" s="6">
        <v>0.0</v>
      </c>
      <c r="K75" s="6">
        <f t="shared" ref="K75:L75" si="11">SUM(K69:K74)</f>
        <v>2300</v>
      </c>
      <c r="L75" s="4">
        <f t="shared" si="11"/>
        <v>35</v>
      </c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4"/>
    </row>
    <row r="77" ht="15.75" customHeight="1">
      <c r="A77" s="5">
        <v>45685.0</v>
      </c>
      <c r="B77" s="6" t="s">
        <v>142</v>
      </c>
      <c r="C77" s="6" t="s">
        <v>143</v>
      </c>
      <c r="D77" s="6" t="s">
        <v>144</v>
      </c>
      <c r="E77" s="6">
        <v>20.0</v>
      </c>
      <c r="F77" s="6">
        <v>20.0</v>
      </c>
      <c r="G77" s="6">
        <v>0.0</v>
      </c>
      <c r="H77" s="6">
        <v>0.0</v>
      </c>
      <c r="I77" s="6">
        <v>20.0</v>
      </c>
      <c r="J77" s="6">
        <v>0.0</v>
      </c>
      <c r="K77" s="6">
        <v>0.0</v>
      </c>
      <c r="L77" s="4">
        <v>0.0</v>
      </c>
    </row>
    <row r="78" ht="15.75" customHeight="1">
      <c r="B78" s="6" t="s">
        <v>145</v>
      </c>
      <c r="C78" s="6" t="s">
        <v>146</v>
      </c>
      <c r="D78" s="6" t="s">
        <v>147</v>
      </c>
      <c r="E78" s="6">
        <v>100.0</v>
      </c>
      <c r="F78" s="6">
        <v>60.0</v>
      </c>
      <c r="G78" s="6">
        <v>40.0</v>
      </c>
      <c r="H78" s="6">
        <v>0.0</v>
      </c>
      <c r="I78" s="6">
        <v>0.0</v>
      </c>
      <c r="J78" s="6">
        <v>100.0</v>
      </c>
      <c r="K78" s="6">
        <v>0.0</v>
      </c>
      <c r="L78" s="4">
        <v>0.0</v>
      </c>
    </row>
    <row r="79" ht="15.75" customHeight="1">
      <c r="B79" s="6" t="s">
        <v>43</v>
      </c>
      <c r="C79" s="6" t="s">
        <v>148</v>
      </c>
      <c r="D79" s="6" t="s">
        <v>149</v>
      </c>
      <c r="E79" s="6">
        <v>400.0</v>
      </c>
      <c r="F79" s="6">
        <v>400.0</v>
      </c>
      <c r="G79" s="6">
        <v>0.0</v>
      </c>
      <c r="H79" s="6">
        <v>0.0</v>
      </c>
      <c r="I79" s="6">
        <v>0.0</v>
      </c>
      <c r="J79" s="6">
        <v>400.0</v>
      </c>
      <c r="K79" s="6">
        <v>0.0</v>
      </c>
      <c r="L79" s="4">
        <v>0.0</v>
      </c>
    </row>
    <row r="80" ht="15.75" customHeight="1">
      <c r="E80" s="6">
        <f t="shared" ref="E80:I80" si="12">SUM(E77:E79)</f>
        <v>520</v>
      </c>
      <c r="F80" s="6">
        <f t="shared" si="12"/>
        <v>480</v>
      </c>
      <c r="G80" s="6">
        <f t="shared" si="12"/>
        <v>40</v>
      </c>
      <c r="H80" s="6">
        <f t="shared" si="12"/>
        <v>0</v>
      </c>
      <c r="I80" s="6">
        <f t="shared" si="12"/>
        <v>20</v>
      </c>
      <c r="J80" s="6">
        <v>500.0</v>
      </c>
      <c r="K80" s="6">
        <v>0.0</v>
      </c>
      <c r="L80" s="4">
        <v>0.0</v>
      </c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4"/>
    </row>
    <row r="82" ht="15.75" customHeight="1">
      <c r="A82" s="5">
        <v>45686.0</v>
      </c>
      <c r="B82" s="6" t="s">
        <v>150</v>
      </c>
      <c r="C82" s="6" t="s">
        <v>151</v>
      </c>
      <c r="D82" s="6" t="s">
        <v>152</v>
      </c>
      <c r="E82" s="6">
        <v>300.0</v>
      </c>
      <c r="F82" s="6">
        <v>300.0</v>
      </c>
      <c r="G82" s="6">
        <v>0.0</v>
      </c>
      <c r="H82" s="6">
        <v>0.0</v>
      </c>
      <c r="I82" s="6">
        <v>0.0</v>
      </c>
      <c r="J82" s="6">
        <v>300.0</v>
      </c>
      <c r="K82" s="6">
        <v>0.0</v>
      </c>
      <c r="L82" s="4">
        <v>0.0</v>
      </c>
    </row>
    <row r="83" ht="15.75" customHeight="1">
      <c r="B83" s="6" t="s">
        <v>153</v>
      </c>
      <c r="C83" s="6" t="s">
        <v>154</v>
      </c>
      <c r="D83" s="6" t="s">
        <v>111</v>
      </c>
      <c r="E83" s="6">
        <v>100.0</v>
      </c>
      <c r="F83" s="6">
        <v>0.0</v>
      </c>
      <c r="G83" s="6">
        <v>100.0</v>
      </c>
      <c r="H83" s="6">
        <v>0.0</v>
      </c>
      <c r="I83" s="6">
        <v>0.0</v>
      </c>
      <c r="J83" s="6">
        <v>100.0</v>
      </c>
      <c r="K83" s="6">
        <v>0.0</v>
      </c>
      <c r="L83" s="4">
        <v>0.0</v>
      </c>
    </row>
    <row r="84" ht="15.75" customHeight="1">
      <c r="B84" s="6" t="s">
        <v>155</v>
      </c>
      <c r="C84" s="6" t="s">
        <v>156</v>
      </c>
      <c r="D84" s="6" t="s">
        <v>157</v>
      </c>
      <c r="E84" s="6">
        <v>650.0</v>
      </c>
      <c r="F84" s="6">
        <v>0.0</v>
      </c>
      <c r="G84" s="6">
        <v>650.0</v>
      </c>
      <c r="H84" s="6">
        <v>0.0</v>
      </c>
      <c r="I84" s="6">
        <v>0.0</v>
      </c>
      <c r="J84" s="6">
        <v>650.0</v>
      </c>
      <c r="K84" s="6">
        <v>0.0</v>
      </c>
      <c r="L84" s="4">
        <v>0.0</v>
      </c>
    </row>
    <row r="85" ht="15.75" customHeight="1">
      <c r="B85" s="6" t="s">
        <v>71</v>
      </c>
      <c r="C85" s="6" t="s">
        <v>158</v>
      </c>
      <c r="D85" s="6" t="s">
        <v>159</v>
      </c>
      <c r="E85" s="6">
        <v>50.0</v>
      </c>
      <c r="F85" s="6">
        <v>50.0</v>
      </c>
      <c r="G85" s="6">
        <v>0.0</v>
      </c>
      <c r="H85" s="6">
        <v>0.0</v>
      </c>
      <c r="I85" s="6">
        <v>0.0</v>
      </c>
      <c r="J85" s="6">
        <v>50.0</v>
      </c>
      <c r="K85" s="6">
        <v>0.0</v>
      </c>
      <c r="L85" s="4">
        <v>0.0</v>
      </c>
    </row>
    <row r="86" ht="15.75" customHeight="1">
      <c r="B86" s="6" t="s">
        <v>160</v>
      </c>
      <c r="C86" s="6" t="s">
        <v>161</v>
      </c>
      <c r="D86" s="6" t="s">
        <v>162</v>
      </c>
      <c r="E86" s="6">
        <v>750.0</v>
      </c>
      <c r="F86" s="6">
        <v>0.0</v>
      </c>
      <c r="G86" s="6">
        <v>750.0</v>
      </c>
      <c r="H86" s="6">
        <v>0.0</v>
      </c>
      <c r="I86" s="6">
        <v>0.0</v>
      </c>
      <c r="J86" s="6">
        <v>750.0</v>
      </c>
      <c r="K86" s="6">
        <v>0.0</v>
      </c>
      <c r="L86" s="4">
        <v>0.0</v>
      </c>
    </row>
    <row r="87" ht="15.75" customHeight="1">
      <c r="E87" s="6">
        <f t="shared" ref="E87:G87" si="13">SUM(E82:E86)</f>
        <v>1850</v>
      </c>
      <c r="F87" s="6">
        <f t="shared" si="13"/>
        <v>350</v>
      </c>
      <c r="G87" s="6">
        <f t="shared" si="13"/>
        <v>1500</v>
      </c>
      <c r="J87" s="6">
        <f>SUM(J82:J86)</f>
        <v>1850</v>
      </c>
      <c r="L87" s="4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4"/>
    </row>
    <row r="89" ht="15.75" customHeight="1">
      <c r="A89" s="5">
        <v>45687.0</v>
      </c>
      <c r="B89" s="6" t="s">
        <v>163</v>
      </c>
      <c r="C89" s="6" t="s">
        <v>164</v>
      </c>
      <c r="E89" s="6">
        <v>900.0</v>
      </c>
      <c r="F89" s="6">
        <v>0.0</v>
      </c>
      <c r="G89" s="6">
        <v>900.0</v>
      </c>
      <c r="H89" s="6">
        <v>0.0</v>
      </c>
      <c r="I89" s="6">
        <v>0.0</v>
      </c>
      <c r="J89" s="6">
        <v>900.0</v>
      </c>
      <c r="K89" s="6">
        <v>0.0</v>
      </c>
      <c r="L89" s="4">
        <v>0.0</v>
      </c>
    </row>
    <row r="90" ht="15.75" customHeight="1">
      <c r="B90" s="6" t="s">
        <v>165</v>
      </c>
      <c r="C90" s="6" t="s">
        <v>166</v>
      </c>
      <c r="E90" s="6">
        <v>550.0</v>
      </c>
      <c r="F90" s="6">
        <v>550.0</v>
      </c>
      <c r="G90" s="6">
        <v>0.0</v>
      </c>
      <c r="H90" s="6">
        <v>0.0</v>
      </c>
      <c r="I90" s="6">
        <v>0.0</v>
      </c>
      <c r="J90" s="6">
        <v>550.0</v>
      </c>
      <c r="K90" s="6">
        <v>0.0</v>
      </c>
      <c r="L90" s="4"/>
    </row>
    <row r="91" ht="15.75" customHeight="1">
      <c r="E91" s="6">
        <f t="shared" ref="E91:K91" si="14">SUM(E89:E90)</f>
        <v>1450</v>
      </c>
      <c r="F91" s="6">
        <f t="shared" si="14"/>
        <v>550</v>
      </c>
      <c r="G91" s="6">
        <f t="shared" si="14"/>
        <v>900</v>
      </c>
      <c r="H91" s="6">
        <f t="shared" si="14"/>
        <v>0</v>
      </c>
      <c r="I91" s="6">
        <f t="shared" si="14"/>
        <v>0</v>
      </c>
      <c r="J91" s="6">
        <f t="shared" si="14"/>
        <v>1450</v>
      </c>
      <c r="K91" s="6">
        <f t="shared" si="14"/>
        <v>0</v>
      </c>
      <c r="L91" s="9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9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 t="s">
        <v>167</v>
      </c>
      <c r="L93" s="9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9"/>
    </row>
    <row r="95" ht="15.75" customHeight="1">
      <c r="A95" s="5">
        <v>45691.0</v>
      </c>
      <c r="B95" s="6" t="s">
        <v>168</v>
      </c>
      <c r="C95" s="6" t="s">
        <v>169</v>
      </c>
      <c r="D95" s="6" t="s">
        <v>106</v>
      </c>
      <c r="E95" s="6">
        <v>500.0</v>
      </c>
      <c r="F95" s="6">
        <v>0.0</v>
      </c>
      <c r="G95" s="6">
        <v>0.0</v>
      </c>
      <c r="H95" s="6">
        <v>0.0</v>
      </c>
      <c r="I95" s="6">
        <v>0.0</v>
      </c>
      <c r="J95" s="6">
        <v>500.0</v>
      </c>
      <c r="K95" s="6">
        <v>0.0</v>
      </c>
      <c r="L95" s="9"/>
    </row>
    <row r="96" ht="15.75" customHeight="1">
      <c r="B96" s="6" t="s">
        <v>43</v>
      </c>
      <c r="C96" s="6" t="s">
        <v>170</v>
      </c>
      <c r="D96" s="6" t="s">
        <v>171</v>
      </c>
      <c r="E96" s="6">
        <v>600.0</v>
      </c>
      <c r="F96" s="6">
        <v>0.0</v>
      </c>
      <c r="G96" s="6">
        <v>0.0</v>
      </c>
      <c r="H96" s="6">
        <v>600.0</v>
      </c>
      <c r="I96" s="6">
        <v>0.0</v>
      </c>
      <c r="J96" s="6">
        <v>600.0</v>
      </c>
      <c r="K96" s="6">
        <v>0.0</v>
      </c>
      <c r="L96" s="9"/>
    </row>
    <row r="97" ht="15.75" customHeight="1">
      <c r="B97" s="6" t="s">
        <v>88</v>
      </c>
      <c r="C97" s="6"/>
      <c r="D97" s="6"/>
      <c r="E97" s="6">
        <v>300.0</v>
      </c>
      <c r="F97" s="6">
        <v>300.0</v>
      </c>
      <c r="G97" s="6"/>
      <c r="H97" s="6"/>
      <c r="I97" s="6"/>
      <c r="J97" s="6"/>
      <c r="K97" s="6"/>
      <c r="L97" s="9"/>
    </row>
    <row r="98" ht="15.75" customHeight="1">
      <c r="E98" s="6">
        <f>SUM(E95:E97)</f>
        <v>1400</v>
      </c>
      <c r="H98" s="6">
        <f>SUM(H95:H96)</f>
        <v>600</v>
      </c>
      <c r="L98" s="9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9"/>
    </row>
    <row r="100" ht="15.75" customHeight="1">
      <c r="A100" s="5">
        <v>45692.0</v>
      </c>
      <c r="B100" s="6" t="s">
        <v>172</v>
      </c>
      <c r="C100" s="6" t="s">
        <v>173</v>
      </c>
      <c r="D100" s="6" t="s">
        <v>174</v>
      </c>
      <c r="E100" s="6">
        <v>1100.0</v>
      </c>
      <c r="F100" s="6">
        <v>0.0</v>
      </c>
      <c r="G100" s="6">
        <v>1100.0</v>
      </c>
      <c r="H100" s="6">
        <v>0.0</v>
      </c>
      <c r="I100" s="6">
        <v>0.0</v>
      </c>
      <c r="J100" s="6">
        <v>1100.0</v>
      </c>
      <c r="K100" s="6">
        <v>0.0</v>
      </c>
      <c r="L100" s="9"/>
    </row>
    <row r="101" ht="15.75" customHeight="1">
      <c r="B101" s="6" t="s">
        <v>175</v>
      </c>
      <c r="C101" s="6" t="s">
        <v>176</v>
      </c>
      <c r="D101" s="6" t="s">
        <v>177</v>
      </c>
      <c r="E101" s="6">
        <v>280.0</v>
      </c>
      <c r="F101" s="6">
        <v>0.0</v>
      </c>
      <c r="G101" s="6">
        <v>280.0</v>
      </c>
      <c r="H101" s="6">
        <v>0.0</v>
      </c>
      <c r="I101" s="6">
        <v>0.0</v>
      </c>
      <c r="J101" s="6">
        <v>280.0</v>
      </c>
      <c r="K101" s="6">
        <v>0.0</v>
      </c>
      <c r="L101" s="9"/>
    </row>
    <row r="102" ht="15.75" customHeight="1">
      <c r="E102" s="6">
        <f>SUM(E100:E101)</f>
        <v>1380</v>
      </c>
      <c r="G102" s="6">
        <f>SUM(G100:G101)</f>
        <v>1380</v>
      </c>
      <c r="J102" s="6">
        <f>SUM(J100:J101)</f>
        <v>1380</v>
      </c>
      <c r="L102" s="9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9"/>
    </row>
    <row r="104" ht="15.75" customHeight="1">
      <c r="A104" s="5">
        <v>45693.0</v>
      </c>
      <c r="B104" s="6" t="s">
        <v>178</v>
      </c>
      <c r="C104" s="6" t="s">
        <v>179</v>
      </c>
      <c r="D104" s="6" t="s">
        <v>180</v>
      </c>
      <c r="E104" s="6">
        <v>1100.0</v>
      </c>
      <c r="F104" s="6">
        <v>0.0</v>
      </c>
      <c r="G104" s="6">
        <v>1100.0</v>
      </c>
      <c r="H104" s="6">
        <v>0.0</v>
      </c>
      <c r="I104" s="6">
        <v>0.0</v>
      </c>
      <c r="J104" s="6">
        <v>1100.0</v>
      </c>
      <c r="K104" s="6">
        <v>0.0</v>
      </c>
      <c r="L104" s="9"/>
    </row>
    <row r="105" ht="15.75" customHeight="1">
      <c r="B105" s="6" t="s">
        <v>181</v>
      </c>
      <c r="C105" s="6" t="s">
        <v>182</v>
      </c>
      <c r="D105" s="6" t="s">
        <v>51</v>
      </c>
      <c r="E105" s="6">
        <v>300.0</v>
      </c>
      <c r="F105" s="6">
        <v>300.0</v>
      </c>
      <c r="G105" s="6">
        <v>0.0</v>
      </c>
      <c r="H105" s="6">
        <v>0.0</v>
      </c>
      <c r="I105" s="6">
        <v>0.0</v>
      </c>
      <c r="J105" s="6">
        <v>300.0</v>
      </c>
      <c r="K105" s="6">
        <v>0.0</v>
      </c>
      <c r="L105" s="9"/>
    </row>
    <row r="106" ht="15.75" customHeight="1">
      <c r="B106" s="6" t="s">
        <v>183</v>
      </c>
      <c r="C106" s="6" t="s">
        <v>184</v>
      </c>
      <c r="D106" s="6" t="s">
        <v>106</v>
      </c>
      <c r="E106" s="6">
        <v>450.0</v>
      </c>
      <c r="F106" s="6">
        <v>0.0</v>
      </c>
      <c r="G106" s="6">
        <v>450.0</v>
      </c>
      <c r="H106" s="6">
        <v>0.0</v>
      </c>
      <c r="I106" s="6">
        <v>0.0</v>
      </c>
      <c r="J106" s="6">
        <v>450.0</v>
      </c>
      <c r="K106" s="6">
        <v>0.0</v>
      </c>
      <c r="L106" s="9"/>
    </row>
    <row r="107" ht="15.7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9"/>
    </row>
    <row r="108" ht="15.75" customHeight="1">
      <c r="L108" s="9"/>
    </row>
    <row r="109" ht="15.75" customHeight="1">
      <c r="A109" s="10"/>
      <c r="B109" s="7"/>
      <c r="C109" s="7"/>
      <c r="D109" s="7"/>
      <c r="E109" s="7"/>
      <c r="F109" s="7"/>
      <c r="G109" s="7"/>
      <c r="H109" s="7"/>
      <c r="I109" s="7"/>
      <c r="J109" s="7"/>
      <c r="K109" s="7" t="s">
        <v>185</v>
      </c>
      <c r="L109" s="9"/>
    </row>
    <row r="110" ht="15.75" customHeight="1">
      <c r="A110" s="5">
        <v>45694.0</v>
      </c>
      <c r="B110" s="6" t="s">
        <v>186</v>
      </c>
      <c r="C110" s="6" t="s">
        <v>187</v>
      </c>
      <c r="D110" s="6" t="s">
        <v>188</v>
      </c>
      <c r="E110" s="6">
        <v>280.0</v>
      </c>
      <c r="F110" s="6">
        <v>0.0</v>
      </c>
      <c r="G110" s="6">
        <v>280.0</v>
      </c>
      <c r="H110" s="6">
        <v>0.0</v>
      </c>
      <c r="I110" s="6">
        <v>0.0</v>
      </c>
      <c r="J110" s="6">
        <v>280.0</v>
      </c>
      <c r="K110" s="6">
        <v>0.0</v>
      </c>
      <c r="L110" s="9"/>
    </row>
    <row r="111" ht="15.75" customHeight="1">
      <c r="B111" s="6" t="s">
        <v>189</v>
      </c>
      <c r="C111" s="6" t="s">
        <v>190</v>
      </c>
      <c r="D111" s="6" t="s">
        <v>191</v>
      </c>
      <c r="E111" s="6">
        <v>150.0</v>
      </c>
      <c r="F111" s="6">
        <v>150.0</v>
      </c>
      <c r="G111" s="6">
        <v>0.0</v>
      </c>
      <c r="H111" s="6">
        <v>0.0</v>
      </c>
      <c r="I111" s="6">
        <v>0.0</v>
      </c>
      <c r="J111" s="6">
        <v>150.0</v>
      </c>
      <c r="K111" s="6">
        <v>0.0</v>
      </c>
      <c r="L111" s="9"/>
    </row>
    <row r="112" ht="15.75" customHeight="1">
      <c r="E112" s="6">
        <f t="shared" ref="E112:G112" si="15">SUM(E110:E111)</f>
        <v>430</v>
      </c>
      <c r="F112" s="6">
        <f t="shared" si="15"/>
        <v>150</v>
      </c>
      <c r="G112" s="6">
        <f t="shared" si="15"/>
        <v>280</v>
      </c>
      <c r="J112" s="6">
        <f>SUM(J110:J111)</f>
        <v>430</v>
      </c>
      <c r="L112" s="9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9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9"/>
    </row>
    <row r="115" ht="15.75" customHeight="1">
      <c r="A115" s="5">
        <v>45698.0</v>
      </c>
      <c r="B115" s="6" t="s">
        <v>40</v>
      </c>
      <c r="C115" s="6" t="s">
        <v>192</v>
      </c>
      <c r="D115" s="6" t="s">
        <v>132</v>
      </c>
      <c r="E115" s="6">
        <v>700.0</v>
      </c>
      <c r="F115" s="6">
        <v>700.0</v>
      </c>
      <c r="G115" s="6">
        <v>0.0</v>
      </c>
      <c r="H115" s="6">
        <v>0.0</v>
      </c>
      <c r="I115" s="6">
        <v>700.0</v>
      </c>
      <c r="J115" s="6">
        <v>700.0</v>
      </c>
      <c r="L115" s="9"/>
    </row>
    <row r="116" ht="15.75" customHeight="1">
      <c r="B116" s="6" t="s">
        <v>193</v>
      </c>
      <c r="C116" s="6" t="s">
        <v>194</v>
      </c>
      <c r="D116" s="6" t="s">
        <v>195</v>
      </c>
      <c r="E116" s="6">
        <v>300.0</v>
      </c>
      <c r="F116" s="6">
        <v>300.0</v>
      </c>
      <c r="G116" s="6">
        <v>0.0</v>
      </c>
      <c r="H116" s="6">
        <v>0.0</v>
      </c>
      <c r="I116" s="6">
        <v>300.0</v>
      </c>
      <c r="J116" s="6">
        <v>300.0</v>
      </c>
      <c r="L116" s="9"/>
    </row>
    <row r="117" ht="15.75" customHeight="1">
      <c r="E117" s="6">
        <f t="shared" ref="E117:F117" si="16">SUM(E115:E116)</f>
        <v>1000</v>
      </c>
      <c r="F117" s="6">
        <f t="shared" si="16"/>
        <v>1000</v>
      </c>
      <c r="I117" s="6">
        <f t="shared" ref="I117:J117" si="17">SUM(I115:I116)</f>
        <v>1000</v>
      </c>
      <c r="J117" s="6">
        <f t="shared" si="17"/>
        <v>1000</v>
      </c>
      <c r="L117" s="9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9"/>
    </row>
    <row r="119" ht="15.75" customHeight="1">
      <c r="A119" s="5">
        <v>45699.0</v>
      </c>
      <c r="B119" s="6" t="s">
        <v>196</v>
      </c>
      <c r="C119" s="6" t="s">
        <v>197</v>
      </c>
      <c r="D119" s="6" t="s">
        <v>198</v>
      </c>
      <c r="E119" s="6">
        <v>350.0</v>
      </c>
      <c r="F119" s="6">
        <v>0.0</v>
      </c>
      <c r="G119" s="6">
        <v>350.0</v>
      </c>
      <c r="H119" s="6">
        <v>0.0</v>
      </c>
      <c r="I119" s="6">
        <v>0.0</v>
      </c>
      <c r="J119" s="6">
        <v>350.0</v>
      </c>
      <c r="L119" s="9"/>
    </row>
    <row r="120" ht="15.75" customHeight="1">
      <c r="B120" s="6" t="s">
        <v>199</v>
      </c>
      <c r="C120" s="6" t="s">
        <v>200</v>
      </c>
      <c r="D120" s="6" t="s">
        <v>149</v>
      </c>
      <c r="E120" s="6">
        <v>400.0</v>
      </c>
      <c r="F120" s="6">
        <v>400.0</v>
      </c>
      <c r="G120" s="6">
        <v>0.0</v>
      </c>
      <c r="H120" s="6">
        <v>0.0</v>
      </c>
      <c r="I120" s="6">
        <v>0.0</v>
      </c>
      <c r="J120" s="6">
        <v>400.0</v>
      </c>
      <c r="L120" s="9"/>
    </row>
    <row r="121" ht="15.75" customHeight="1">
      <c r="B121" s="6" t="s">
        <v>201</v>
      </c>
      <c r="C121" s="6" t="s">
        <v>202</v>
      </c>
      <c r="D121" s="6" t="s">
        <v>148</v>
      </c>
      <c r="E121" s="6">
        <v>400.0</v>
      </c>
      <c r="F121" s="6">
        <v>400.0</v>
      </c>
      <c r="G121" s="6">
        <v>0.0</v>
      </c>
      <c r="H121" s="6">
        <v>0.0</v>
      </c>
      <c r="I121" s="6">
        <v>0.0</v>
      </c>
      <c r="J121" s="6">
        <v>400.0</v>
      </c>
      <c r="L121" s="9"/>
    </row>
    <row r="122" ht="15.75" customHeight="1">
      <c r="B122" s="6" t="s">
        <v>203</v>
      </c>
      <c r="C122" s="6" t="s">
        <v>204</v>
      </c>
      <c r="D122" s="6" t="s">
        <v>127</v>
      </c>
      <c r="E122" s="6">
        <v>250.0</v>
      </c>
      <c r="F122" s="6">
        <v>250.0</v>
      </c>
      <c r="G122" s="6">
        <v>0.0</v>
      </c>
      <c r="H122" s="6">
        <v>0.0</v>
      </c>
      <c r="I122" s="6">
        <v>0.0</v>
      </c>
      <c r="J122" s="6">
        <v>250.0</v>
      </c>
      <c r="L122" s="9"/>
    </row>
    <row r="123" ht="15.75" customHeight="1">
      <c r="B123" s="6" t="s">
        <v>205</v>
      </c>
      <c r="C123" s="6" t="s">
        <v>206</v>
      </c>
      <c r="D123" s="6" t="s">
        <v>207</v>
      </c>
      <c r="E123" s="6">
        <v>100.0</v>
      </c>
      <c r="F123" s="6">
        <v>0.0</v>
      </c>
      <c r="G123" s="6">
        <v>100.0</v>
      </c>
      <c r="H123" s="6">
        <v>0.0</v>
      </c>
      <c r="I123" s="6">
        <v>0.0</v>
      </c>
      <c r="J123" s="6">
        <v>100.0</v>
      </c>
      <c r="L123" s="9"/>
    </row>
    <row r="124" ht="15.75" customHeight="1">
      <c r="E124" s="6">
        <f t="shared" ref="E124:J124" si="18">SUM(E119:E123)</f>
        <v>1500</v>
      </c>
      <c r="F124" s="6">
        <f t="shared" si="18"/>
        <v>1050</v>
      </c>
      <c r="G124" s="6">
        <f t="shared" si="18"/>
        <v>450</v>
      </c>
      <c r="H124" s="6">
        <f t="shared" si="18"/>
        <v>0</v>
      </c>
      <c r="I124" s="6">
        <f t="shared" si="18"/>
        <v>0</v>
      </c>
      <c r="J124" s="6">
        <f t="shared" si="18"/>
        <v>1500</v>
      </c>
      <c r="L124" s="9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9"/>
    </row>
    <row r="126" ht="15.75" customHeight="1">
      <c r="A126" s="5">
        <v>45334.0</v>
      </c>
      <c r="B126" s="6" t="s">
        <v>208</v>
      </c>
      <c r="C126" s="6" t="s">
        <v>209</v>
      </c>
      <c r="D126" s="6" t="s">
        <v>210</v>
      </c>
      <c r="E126" s="6">
        <v>800.0</v>
      </c>
      <c r="F126" s="6">
        <v>0.0</v>
      </c>
      <c r="G126" s="6">
        <v>800.0</v>
      </c>
      <c r="H126" s="6">
        <v>0.0</v>
      </c>
      <c r="I126" s="6">
        <v>0.0</v>
      </c>
      <c r="J126" s="6">
        <v>800.0</v>
      </c>
      <c r="K126" s="6">
        <v>0.0</v>
      </c>
      <c r="L126" s="9"/>
    </row>
    <row r="127" ht="15.75" customHeight="1">
      <c r="A127" s="5"/>
      <c r="B127" s="6"/>
      <c r="C127" s="6" t="s">
        <v>211</v>
      </c>
      <c r="D127" s="6" t="s">
        <v>212</v>
      </c>
      <c r="E127" s="6">
        <v>135.0</v>
      </c>
      <c r="F127" s="6">
        <v>135.0</v>
      </c>
      <c r="G127" s="6">
        <v>0.0</v>
      </c>
      <c r="H127" s="6">
        <v>0.0</v>
      </c>
      <c r="I127" s="6">
        <v>0.0</v>
      </c>
      <c r="J127" s="6">
        <v>100.0</v>
      </c>
      <c r="K127" s="6">
        <v>35.0</v>
      </c>
      <c r="L127" s="9"/>
    </row>
    <row r="128" ht="15.75" customHeight="1">
      <c r="B128" s="6" t="s">
        <v>213</v>
      </c>
      <c r="C128" s="6" t="s">
        <v>214</v>
      </c>
      <c r="D128" s="6" t="s">
        <v>215</v>
      </c>
      <c r="E128" s="6">
        <v>400.0</v>
      </c>
      <c r="F128" s="6">
        <v>400.0</v>
      </c>
      <c r="G128" s="6">
        <v>0.0</v>
      </c>
      <c r="H128" s="6">
        <v>0.0</v>
      </c>
      <c r="I128" s="6">
        <v>0.0</v>
      </c>
      <c r="J128" s="6">
        <v>400.0</v>
      </c>
      <c r="K128" s="6">
        <v>0.0</v>
      </c>
      <c r="L128" s="9"/>
    </row>
    <row r="129" ht="15.75" customHeight="1">
      <c r="B129" s="6" t="s">
        <v>216</v>
      </c>
      <c r="C129" s="6" t="s">
        <v>217</v>
      </c>
      <c r="D129" s="6" t="s">
        <v>218</v>
      </c>
      <c r="E129" s="6">
        <v>400.0</v>
      </c>
      <c r="F129" s="6">
        <v>0.0</v>
      </c>
      <c r="G129" s="6">
        <v>400.0</v>
      </c>
      <c r="H129" s="6">
        <v>0.0</v>
      </c>
      <c r="I129" s="6">
        <v>0.0</v>
      </c>
      <c r="J129" s="6">
        <v>400.0</v>
      </c>
      <c r="K129" s="6">
        <v>0.0</v>
      </c>
      <c r="L129" s="9"/>
    </row>
    <row r="130" ht="15.75" customHeight="1">
      <c r="B130" s="6" t="s">
        <v>219</v>
      </c>
      <c r="C130" s="6" t="s">
        <v>220</v>
      </c>
      <c r="D130" s="6" t="s">
        <v>221</v>
      </c>
      <c r="E130" s="6">
        <v>680.0</v>
      </c>
      <c r="F130" s="6">
        <v>680.0</v>
      </c>
      <c r="G130" s="6">
        <v>0.0</v>
      </c>
      <c r="H130" s="6">
        <v>0.0</v>
      </c>
      <c r="I130" s="6">
        <v>0.0</v>
      </c>
      <c r="J130" s="6">
        <v>680.0</v>
      </c>
      <c r="K130" s="6">
        <v>0.0</v>
      </c>
      <c r="L130" s="9"/>
    </row>
    <row r="131" ht="15.75" customHeight="1">
      <c r="B131" s="6" t="s">
        <v>222</v>
      </c>
      <c r="C131" s="6" t="s">
        <v>223</v>
      </c>
      <c r="D131" s="6" t="s">
        <v>224</v>
      </c>
      <c r="E131" s="6">
        <v>300.0</v>
      </c>
      <c r="F131" s="6">
        <v>300.0</v>
      </c>
      <c r="G131" s="6">
        <v>300.0</v>
      </c>
      <c r="H131" s="6">
        <v>0.0</v>
      </c>
      <c r="I131" s="6">
        <v>0.0</v>
      </c>
      <c r="J131" s="6">
        <v>300.0</v>
      </c>
      <c r="K131" s="6">
        <v>0.0</v>
      </c>
      <c r="L131" s="9"/>
    </row>
    <row r="132" ht="15.75" customHeight="1">
      <c r="B132" s="6" t="s">
        <v>225</v>
      </c>
      <c r="C132" s="6" t="s">
        <v>182</v>
      </c>
      <c r="D132" s="6" t="s">
        <v>51</v>
      </c>
      <c r="E132" s="6">
        <v>300.0</v>
      </c>
      <c r="F132" s="6">
        <v>300.0</v>
      </c>
      <c r="G132" s="6">
        <v>0.0</v>
      </c>
      <c r="H132" s="6">
        <v>0.0</v>
      </c>
      <c r="I132" s="6">
        <v>0.0</v>
      </c>
      <c r="J132" s="6">
        <v>300.0</v>
      </c>
      <c r="K132" s="6">
        <v>0.0</v>
      </c>
      <c r="L132" s="9"/>
    </row>
    <row r="133" ht="15.75" customHeight="1">
      <c r="B133" s="6" t="s">
        <v>226</v>
      </c>
      <c r="C133" s="6" t="s">
        <v>227</v>
      </c>
      <c r="D133" s="6" t="s">
        <v>65</v>
      </c>
      <c r="E133" s="6">
        <v>950.0</v>
      </c>
      <c r="F133" s="6">
        <v>0.0</v>
      </c>
      <c r="G133" s="6">
        <v>0.0</v>
      </c>
      <c r="H133" s="6">
        <v>950.0</v>
      </c>
      <c r="I133" s="6">
        <v>0.0</v>
      </c>
      <c r="J133" s="6">
        <v>950.0</v>
      </c>
      <c r="K133" s="6">
        <v>0.0</v>
      </c>
      <c r="L133" s="9"/>
    </row>
    <row r="134" ht="15.75" customHeight="1">
      <c r="E134" s="6">
        <f t="shared" ref="E134:K134" si="19">SUM(E126:E133)</f>
        <v>3965</v>
      </c>
      <c r="F134" s="6">
        <f t="shared" si="19"/>
        <v>1815</v>
      </c>
      <c r="G134" s="6">
        <f t="shared" si="19"/>
        <v>1500</v>
      </c>
      <c r="H134" s="6">
        <f t="shared" si="19"/>
        <v>950</v>
      </c>
      <c r="I134" s="6">
        <f t="shared" si="19"/>
        <v>0</v>
      </c>
      <c r="J134" s="6">
        <f t="shared" si="19"/>
        <v>3930</v>
      </c>
      <c r="K134" s="6">
        <f t="shared" si="19"/>
        <v>35</v>
      </c>
      <c r="L134" s="9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 t="s">
        <v>228</v>
      </c>
      <c r="L135" s="9"/>
    </row>
    <row r="136" ht="15.75" customHeight="1">
      <c r="A136" s="13">
        <v>45701.0</v>
      </c>
      <c r="B136" s="6" t="s">
        <v>68</v>
      </c>
      <c r="C136" s="14" t="s">
        <v>229</v>
      </c>
      <c r="D136" s="6" t="s">
        <v>230</v>
      </c>
      <c r="E136" s="6">
        <v>500.0</v>
      </c>
      <c r="F136" s="6">
        <v>500.0</v>
      </c>
      <c r="G136" s="6">
        <v>0.0</v>
      </c>
      <c r="H136" s="6">
        <v>0.0</v>
      </c>
      <c r="I136" s="6">
        <v>0.0</v>
      </c>
      <c r="J136" s="6">
        <v>500.0</v>
      </c>
      <c r="K136" s="6">
        <v>0.0</v>
      </c>
      <c r="L136" s="9"/>
    </row>
    <row r="137" ht="15.75" customHeight="1">
      <c r="B137" s="6" t="s">
        <v>222</v>
      </c>
      <c r="C137" s="6" t="s">
        <v>231</v>
      </c>
      <c r="D137" s="6" t="s">
        <v>232</v>
      </c>
      <c r="E137" s="6">
        <v>250.0</v>
      </c>
      <c r="F137" s="6">
        <v>250.0</v>
      </c>
      <c r="G137" s="6">
        <v>0.0</v>
      </c>
      <c r="H137" s="6">
        <v>0.0</v>
      </c>
      <c r="I137" s="6">
        <v>0.0</v>
      </c>
      <c r="J137" s="6">
        <v>250.0</v>
      </c>
      <c r="L137" s="9"/>
    </row>
    <row r="138" ht="15.75" customHeight="1">
      <c r="B138" s="6" t="s">
        <v>233</v>
      </c>
      <c r="C138" s="6" t="s">
        <v>192</v>
      </c>
      <c r="D138" s="6" t="s">
        <v>138</v>
      </c>
      <c r="E138" s="6">
        <v>500.0</v>
      </c>
      <c r="F138" s="6">
        <v>500.0</v>
      </c>
      <c r="G138" s="6">
        <v>0.0</v>
      </c>
      <c r="H138" s="6">
        <v>0.0</v>
      </c>
      <c r="I138" s="6">
        <v>0.0</v>
      </c>
      <c r="J138" s="6">
        <v>500.0</v>
      </c>
      <c r="K138" s="6">
        <v>0.0</v>
      </c>
      <c r="L138" s="9"/>
    </row>
    <row r="139" ht="15.75" customHeight="1">
      <c r="E139" s="6">
        <f t="shared" ref="E139:F139" si="20">SUM(E136:E138)</f>
        <v>1250</v>
      </c>
      <c r="F139" s="6">
        <f t="shared" si="20"/>
        <v>1250</v>
      </c>
      <c r="J139" s="6">
        <f>SUM(J136:J138)</f>
        <v>1250</v>
      </c>
      <c r="L139" s="9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9"/>
    </row>
    <row r="141" ht="15.75" customHeight="1">
      <c r="A141" s="5">
        <v>45705.0</v>
      </c>
      <c r="B141" s="6" t="s">
        <v>234</v>
      </c>
      <c r="C141" s="6" t="s">
        <v>235</v>
      </c>
      <c r="D141" s="6" t="s">
        <v>236</v>
      </c>
      <c r="E141" s="6">
        <v>100.0</v>
      </c>
      <c r="F141" s="6">
        <v>100.0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9"/>
    </row>
    <row r="142" ht="15.75" customHeight="1">
      <c r="A142" s="5"/>
      <c r="B142" s="6" t="s">
        <v>88</v>
      </c>
      <c r="C142" s="6"/>
      <c r="D142" s="6"/>
      <c r="E142" s="6"/>
      <c r="F142" s="6"/>
      <c r="G142" s="6"/>
      <c r="H142" s="6"/>
      <c r="I142" s="6"/>
      <c r="J142" s="6"/>
      <c r="K142" s="6">
        <v>0.0</v>
      </c>
      <c r="L142" s="9"/>
    </row>
    <row r="143" ht="15.75" customHeight="1">
      <c r="A143" s="5"/>
      <c r="B143" s="6" t="s">
        <v>237</v>
      </c>
      <c r="C143" s="6" t="s">
        <v>238</v>
      </c>
      <c r="D143" s="6" t="s">
        <v>239</v>
      </c>
      <c r="E143" s="6">
        <v>350.0</v>
      </c>
      <c r="F143" s="6">
        <v>0.0</v>
      </c>
      <c r="G143" s="6">
        <v>0.0</v>
      </c>
      <c r="H143" s="6">
        <v>350.0</v>
      </c>
      <c r="I143" s="6"/>
      <c r="J143" s="6"/>
      <c r="K143" s="6">
        <v>0.0</v>
      </c>
      <c r="L143" s="9"/>
    </row>
    <row r="144" ht="15.75" customHeight="1">
      <c r="A144" s="5"/>
      <c r="B144" s="6" t="s">
        <v>240</v>
      </c>
      <c r="C144" s="6" t="s">
        <v>241</v>
      </c>
      <c r="D144" s="6" t="s">
        <v>242</v>
      </c>
      <c r="E144" s="6">
        <v>180.0</v>
      </c>
      <c r="F144" s="6"/>
      <c r="G144" s="6">
        <v>180.0</v>
      </c>
      <c r="H144" s="6">
        <v>0.0</v>
      </c>
      <c r="I144" s="6">
        <v>0.0</v>
      </c>
      <c r="J144" s="6">
        <v>180.0</v>
      </c>
      <c r="K144" s="6">
        <v>0.0</v>
      </c>
      <c r="L144" s="9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9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9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9"/>
    </row>
    <row r="148" ht="15.75" customHeight="1">
      <c r="A148" s="5">
        <v>45706.0</v>
      </c>
      <c r="B148" s="6" t="s">
        <v>243</v>
      </c>
      <c r="C148" s="6" t="s">
        <v>244</v>
      </c>
      <c r="D148" s="6" t="s">
        <v>245</v>
      </c>
      <c r="E148" s="6">
        <v>400.0</v>
      </c>
      <c r="F148" s="6">
        <v>0.0</v>
      </c>
      <c r="G148" s="6">
        <v>400.0</v>
      </c>
      <c r="H148" s="6">
        <v>0.0</v>
      </c>
      <c r="I148" s="6">
        <v>0.0</v>
      </c>
      <c r="J148" s="6">
        <v>400.0</v>
      </c>
      <c r="K148" s="6">
        <v>0.0</v>
      </c>
      <c r="L148" s="9"/>
    </row>
    <row r="149" ht="15.75" customHeight="1">
      <c r="B149" s="6" t="s">
        <v>246</v>
      </c>
      <c r="C149" s="6" t="s">
        <v>247</v>
      </c>
      <c r="D149" s="6" t="s">
        <v>248</v>
      </c>
      <c r="E149" s="6">
        <v>150.0</v>
      </c>
      <c r="F149" s="6">
        <v>0.0</v>
      </c>
      <c r="G149" s="6">
        <v>150.0</v>
      </c>
      <c r="H149" s="6">
        <v>0.0</v>
      </c>
      <c r="I149" s="6">
        <v>0.0</v>
      </c>
      <c r="J149" s="6">
        <v>150.0</v>
      </c>
      <c r="K149" s="6">
        <v>0.0</v>
      </c>
      <c r="L149" s="9"/>
    </row>
    <row r="150" ht="15.75" customHeight="1">
      <c r="B150" s="6" t="s">
        <v>107</v>
      </c>
      <c r="C150" s="6" t="s">
        <v>249</v>
      </c>
      <c r="D150" s="6" t="s">
        <v>250</v>
      </c>
      <c r="E150" s="6">
        <v>720.0</v>
      </c>
      <c r="F150" s="6">
        <v>500.0</v>
      </c>
      <c r="G150" s="6">
        <v>220.0</v>
      </c>
      <c r="H150" s="6">
        <v>0.0</v>
      </c>
      <c r="I150" s="6">
        <v>0.0</v>
      </c>
      <c r="J150" s="6">
        <v>720.0</v>
      </c>
      <c r="K150" s="6">
        <v>0.0</v>
      </c>
      <c r="L150" s="9"/>
    </row>
    <row r="151" ht="15.75" customHeight="1">
      <c r="B151" s="6" t="s">
        <v>251</v>
      </c>
      <c r="C151" s="6" t="s">
        <v>252</v>
      </c>
      <c r="D151" s="6" t="s">
        <v>144</v>
      </c>
      <c r="E151" s="6">
        <v>100.0</v>
      </c>
      <c r="F151" s="6">
        <v>100.0</v>
      </c>
      <c r="G151" s="6">
        <v>0.0</v>
      </c>
      <c r="H151" s="6">
        <v>0.0</v>
      </c>
      <c r="I151" s="6">
        <v>0.0</v>
      </c>
      <c r="J151" s="6">
        <v>100.0</v>
      </c>
      <c r="K151" s="6">
        <v>0.0</v>
      </c>
      <c r="L151" s="9"/>
    </row>
    <row r="152" ht="15.75" customHeight="1">
      <c r="B152" s="6" t="s">
        <v>253</v>
      </c>
      <c r="C152" s="6" t="s">
        <v>254</v>
      </c>
      <c r="D152" s="6" t="s">
        <v>51</v>
      </c>
      <c r="E152" s="6">
        <v>350.0</v>
      </c>
      <c r="F152" s="6">
        <v>0.0</v>
      </c>
      <c r="G152" s="6">
        <v>350.0</v>
      </c>
      <c r="H152" s="6">
        <v>0.0</v>
      </c>
      <c r="I152" s="6">
        <v>0.0</v>
      </c>
      <c r="J152" s="6">
        <v>350.0</v>
      </c>
      <c r="K152" s="6">
        <v>0.0</v>
      </c>
      <c r="L152" s="9"/>
    </row>
    <row r="153" ht="15.75" customHeight="1">
      <c r="B153" s="6" t="s">
        <v>255</v>
      </c>
      <c r="C153" s="6" t="s">
        <v>256</v>
      </c>
      <c r="D153" s="6" t="s">
        <v>257</v>
      </c>
      <c r="E153" s="6">
        <v>4000.0</v>
      </c>
      <c r="F153" s="6">
        <v>0.0</v>
      </c>
      <c r="G153" s="6">
        <v>0.0</v>
      </c>
      <c r="H153" s="6">
        <v>4000.0</v>
      </c>
      <c r="I153" s="6">
        <v>0.0</v>
      </c>
      <c r="J153" s="6">
        <v>4000.0</v>
      </c>
      <c r="K153" s="6">
        <v>0.0</v>
      </c>
      <c r="L153" s="9"/>
    </row>
    <row r="154" ht="15.75" customHeight="1">
      <c r="B154" s="6" t="s">
        <v>258</v>
      </c>
      <c r="C154" s="6" t="s">
        <v>259</v>
      </c>
      <c r="D154" s="6" t="s">
        <v>260</v>
      </c>
      <c r="E154" s="6">
        <v>500.0</v>
      </c>
      <c r="F154" s="6">
        <v>0.0</v>
      </c>
      <c r="G154" s="6">
        <v>500.0</v>
      </c>
      <c r="H154" s="6">
        <v>0.0</v>
      </c>
      <c r="I154" s="6">
        <v>0.0</v>
      </c>
      <c r="J154" s="6">
        <v>500.0</v>
      </c>
      <c r="K154" s="6">
        <v>0.0</v>
      </c>
      <c r="L154" s="9"/>
    </row>
    <row r="155" ht="15.75" customHeight="1">
      <c r="E155" s="6">
        <f t="shared" ref="E155:H155" si="21">SUM(E148:E154)</f>
        <v>6220</v>
      </c>
      <c r="F155" s="6">
        <f t="shared" si="21"/>
        <v>600</v>
      </c>
      <c r="G155" s="6">
        <f t="shared" si="21"/>
        <v>1620</v>
      </c>
      <c r="H155" s="6">
        <f t="shared" si="21"/>
        <v>4000</v>
      </c>
      <c r="L155" s="9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9"/>
    </row>
    <row r="157" ht="15.75" customHeight="1">
      <c r="A157" s="5">
        <v>45707.0</v>
      </c>
      <c r="B157" s="6" t="s">
        <v>261</v>
      </c>
      <c r="C157" s="6" t="s">
        <v>262</v>
      </c>
      <c r="D157" s="6" t="s">
        <v>263</v>
      </c>
      <c r="E157" s="6">
        <v>50.0</v>
      </c>
      <c r="F157" s="6">
        <v>0.0</v>
      </c>
      <c r="G157" s="6">
        <v>0.0</v>
      </c>
      <c r="H157" s="6">
        <v>50.0</v>
      </c>
      <c r="I157" s="6">
        <v>0.0</v>
      </c>
      <c r="J157" s="6">
        <v>50.0</v>
      </c>
      <c r="K157" s="6">
        <v>0.0</v>
      </c>
      <c r="L157" s="9"/>
    </row>
    <row r="158" ht="15.75" customHeight="1">
      <c r="B158" s="15" t="s">
        <v>264</v>
      </c>
      <c r="C158" s="6" t="s">
        <v>265</v>
      </c>
      <c r="D158" s="6" t="s">
        <v>266</v>
      </c>
      <c r="E158" s="6">
        <v>350.0</v>
      </c>
      <c r="F158" s="6">
        <v>0.0</v>
      </c>
      <c r="G158" s="6">
        <v>350.0</v>
      </c>
      <c r="H158" s="6">
        <v>0.0</v>
      </c>
      <c r="I158" s="6">
        <v>0.0</v>
      </c>
      <c r="J158" s="6">
        <v>350.0</v>
      </c>
      <c r="K158" s="6">
        <v>0.0</v>
      </c>
      <c r="L158" s="9"/>
    </row>
    <row r="159" ht="15.75" customHeight="1">
      <c r="B159" s="6" t="s">
        <v>267</v>
      </c>
      <c r="C159" s="6" t="s">
        <v>268</v>
      </c>
      <c r="D159" s="6" t="s">
        <v>149</v>
      </c>
      <c r="E159" s="6">
        <v>400.0</v>
      </c>
      <c r="F159" s="6">
        <v>400.0</v>
      </c>
      <c r="G159" s="6">
        <v>0.0</v>
      </c>
      <c r="H159" s="6">
        <v>0.0</v>
      </c>
      <c r="I159" s="6">
        <v>0.0</v>
      </c>
      <c r="J159" s="6">
        <v>400.0</v>
      </c>
      <c r="K159" s="6">
        <v>0.0</v>
      </c>
      <c r="L159" s="9"/>
    </row>
    <row r="160" ht="15.75" customHeight="1">
      <c r="B160" s="6" t="s">
        <v>57</v>
      </c>
      <c r="C160" s="6" t="s">
        <v>269</v>
      </c>
      <c r="D160" s="6" t="s">
        <v>270</v>
      </c>
      <c r="E160" s="6">
        <v>250.0</v>
      </c>
      <c r="F160" s="6">
        <v>0.0</v>
      </c>
      <c r="G160" s="6">
        <v>250.0</v>
      </c>
      <c r="H160" s="6">
        <v>0.0</v>
      </c>
      <c r="I160" s="6">
        <v>0.0</v>
      </c>
      <c r="J160" s="6">
        <v>250.0</v>
      </c>
      <c r="K160" s="6">
        <v>0.0</v>
      </c>
      <c r="L160" s="9"/>
    </row>
    <row r="161" ht="15.75" customHeight="1">
      <c r="B161" s="6" t="s">
        <v>271</v>
      </c>
      <c r="C161" s="6" t="s">
        <v>272</v>
      </c>
      <c r="D161" s="6" t="s">
        <v>273</v>
      </c>
      <c r="E161" s="6">
        <v>505.0</v>
      </c>
      <c r="F161" s="6">
        <v>505.0</v>
      </c>
      <c r="G161" s="6">
        <v>0.0</v>
      </c>
      <c r="H161" s="6">
        <v>0.0</v>
      </c>
      <c r="I161" s="6">
        <v>0.0</v>
      </c>
      <c r="J161" s="6">
        <v>310.0</v>
      </c>
      <c r="K161" s="6">
        <v>205.0</v>
      </c>
      <c r="L161" s="9"/>
    </row>
    <row r="162" ht="15.75" customHeight="1">
      <c r="E162" s="6">
        <f t="shared" ref="E162:K162" si="22">SUM(E157:E161)</f>
        <v>1555</v>
      </c>
      <c r="F162" s="6">
        <f t="shared" si="22"/>
        <v>905</v>
      </c>
      <c r="G162" s="6">
        <f t="shared" si="22"/>
        <v>600</v>
      </c>
      <c r="H162" s="6">
        <f t="shared" si="22"/>
        <v>50</v>
      </c>
      <c r="I162" s="6">
        <f t="shared" si="22"/>
        <v>0</v>
      </c>
      <c r="J162" s="6">
        <f t="shared" si="22"/>
        <v>1360</v>
      </c>
      <c r="K162" s="6">
        <f t="shared" si="22"/>
        <v>205</v>
      </c>
      <c r="L162" s="9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9"/>
    </row>
    <row r="164" ht="15.75" customHeight="1">
      <c r="A164" s="5">
        <v>45712.0</v>
      </c>
      <c r="B164" s="6" t="s">
        <v>251</v>
      </c>
      <c r="C164" s="6" t="s">
        <v>274</v>
      </c>
      <c r="D164" s="6" t="s">
        <v>144</v>
      </c>
      <c r="E164" s="6">
        <v>100.0</v>
      </c>
      <c r="F164" s="6">
        <v>100.0</v>
      </c>
      <c r="G164" s="6">
        <v>0.0</v>
      </c>
      <c r="H164" s="6">
        <v>0.0</v>
      </c>
      <c r="I164" s="6">
        <v>0.0</v>
      </c>
      <c r="J164" s="6">
        <v>100.0</v>
      </c>
      <c r="K164" s="6">
        <v>0.0</v>
      </c>
      <c r="L164" s="9"/>
    </row>
    <row r="165" ht="15.75" customHeight="1">
      <c r="B165" s="6" t="s">
        <v>275</v>
      </c>
      <c r="C165" s="6" t="s">
        <v>276</v>
      </c>
      <c r="D165" s="6" t="s">
        <v>106</v>
      </c>
      <c r="E165" s="6">
        <v>500.0</v>
      </c>
      <c r="F165" s="6">
        <v>500.0</v>
      </c>
      <c r="G165" s="6">
        <v>0.0</v>
      </c>
      <c r="H165" s="6">
        <v>0.0</v>
      </c>
      <c r="I165" s="6">
        <v>0.0</v>
      </c>
      <c r="J165" s="6">
        <v>500.0</v>
      </c>
      <c r="K165" s="6">
        <v>0.0</v>
      </c>
      <c r="L165" s="9"/>
    </row>
    <row r="166" ht="15.75" customHeight="1">
      <c r="B166" s="6" t="s">
        <v>277</v>
      </c>
      <c r="C166" s="6" t="s">
        <v>278</v>
      </c>
      <c r="D166" s="6" t="s">
        <v>152</v>
      </c>
      <c r="E166" s="6">
        <v>300.0</v>
      </c>
      <c r="F166" s="6">
        <v>0.0</v>
      </c>
      <c r="G166" s="6">
        <v>300.0</v>
      </c>
      <c r="H166" s="6">
        <v>0.0</v>
      </c>
      <c r="I166" s="6">
        <v>0.0</v>
      </c>
      <c r="J166" s="6">
        <v>300.0</v>
      </c>
      <c r="K166" s="6">
        <v>0.0</v>
      </c>
      <c r="L166" s="9"/>
    </row>
    <row r="167" ht="15.75" customHeight="1">
      <c r="B167" s="6"/>
      <c r="C167" s="6" t="s">
        <v>279</v>
      </c>
      <c r="D167" s="6" t="s">
        <v>280</v>
      </c>
      <c r="E167" s="6">
        <v>150.0</v>
      </c>
      <c r="F167" s="6">
        <v>0.0</v>
      </c>
      <c r="G167" s="6">
        <v>150.0</v>
      </c>
      <c r="H167" s="6">
        <v>0.0</v>
      </c>
      <c r="I167" s="6">
        <v>0.0</v>
      </c>
      <c r="J167" s="6">
        <v>150.0</v>
      </c>
      <c r="K167" s="6">
        <v>0.0</v>
      </c>
      <c r="L167" s="9"/>
    </row>
    <row r="168" ht="15.75" customHeight="1">
      <c r="B168" s="6" t="s">
        <v>281</v>
      </c>
      <c r="C168" s="6" t="s">
        <v>282</v>
      </c>
      <c r="D168" s="6" t="s">
        <v>283</v>
      </c>
      <c r="E168" s="6">
        <v>740.0</v>
      </c>
      <c r="F168" s="6">
        <v>0.0</v>
      </c>
      <c r="G168" s="6">
        <v>740.0</v>
      </c>
      <c r="H168" s="6">
        <v>0.0</v>
      </c>
      <c r="I168" s="6">
        <v>0.0</v>
      </c>
      <c r="J168" s="6">
        <v>740.0</v>
      </c>
      <c r="K168" s="6">
        <v>0.0</v>
      </c>
      <c r="L168" s="9"/>
    </row>
    <row r="169" ht="15.75" customHeight="1">
      <c r="B169" s="6" t="s">
        <v>128</v>
      </c>
      <c r="C169" s="6" t="s">
        <v>284</v>
      </c>
      <c r="D169" s="6" t="s">
        <v>127</v>
      </c>
      <c r="E169" s="6">
        <v>240.0</v>
      </c>
      <c r="F169" s="6">
        <v>0.0</v>
      </c>
      <c r="G169" s="6">
        <v>240.0</v>
      </c>
      <c r="H169" s="6">
        <v>0.0</v>
      </c>
      <c r="I169" s="6">
        <v>0.0</v>
      </c>
      <c r="J169" s="6">
        <v>240.0</v>
      </c>
      <c r="K169" s="6">
        <v>0.0</v>
      </c>
      <c r="L169" s="9"/>
    </row>
    <row r="170" ht="15.75" customHeight="1">
      <c r="B170" s="6" t="s">
        <v>285</v>
      </c>
      <c r="C170" s="6" t="s">
        <v>286</v>
      </c>
      <c r="D170" s="6" t="s">
        <v>65</v>
      </c>
      <c r="E170" s="6">
        <v>50.0</v>
      </c>
      <c r="F170" s="6">
        <v>0.0</v>
      </c>
      <c r="G170" s="6">
        <v>0.0</v>
      </c>
      <c r="H170" s="6">
        <v>50.0</v>
      </c>
      <c r="I170" s="6">
        <v>0.0</v>
      </c>
      <c r="J170" s="6">
        <v>50.0</v>
      </c>
      <c r="K170" s="6">
        <v>0.0</v>
      </c>
      <c r="L170" s="9"/>
    </row>
    <row r="171" ht="15.75" customHeight="1">
      <c r="E171" s="6">
        <f t="shared" ref="E171:K171" si="23">SUM(E164:E170)</f>
        <v>2080</v>
      </c>
      <c r="F171" s="6">
        <f t="shared" si="23"/>
        <v>600</v>
      </c>
      <c r="G171" s="6">
        <f t="shared" si="23"/>
        <v>1430</v>
      </c>
      <c r="H171" s="6">
        <f t="shared" si="23"/>
        <v>50</v>
      </c>
      <c r="I171" s="6">
        <f t="shared" si="23"/>
        <v>0</v>
      </c>
      <c r="J171" s="6">
        <f t="shared" si="23"/>
        <v>2080</v>
      </c>
      <c r="K171" s="6">
        <f t="shared" si="23"/>
        <v>0</v>
      </c>
      <c r="L171" s="9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9"/>
    </row>
    <row r="173" ht="15.75" customHeight="1">
      <c r="A173" s="5">
        <v>45713.0</v>
      </c>
      <c r="B173" s="6" t="s">
        <v>287</v>
      </c>
      <c r="C173" s="6" t="s">
        <v>288</v>
      </c>
      <c r="D173" s="6" t="s">
        <v>289</v>
      </c>
      <c r="E173" s="6">
        <v>400.0</v>
      </c>
      <c r="F173" s="6">
        <v>0.0</v>
      </c>
      <c r="G173" s="6">
        <v>400.0</v>
      </c>
      <c r="H173" s="6">
        <v>0.0</v>
      </c>
      <c r="I173" s="6">
        <v>0.0</v>
      </c>
      <c r="J173" s="6">
        <v>400.0</v>
      </c>
      <c r="K173" s="6">
        <v>0.0</v>
      </c>
      <c r="L173" s="9"/>
    </row>
    <row r="174" ht="15.75" customHeight="1">
      <c r="B174" s="6" t="s">
        <v>201</v>
      </c>
      <c r="C174" s="6" t="s">
        <v>290</v>
      </c>
      <c r="D174" s="6" t="s">
        <v>291</v>
      </c>
      <c r="E174" s="6">
        <v>100.0</v>
      </c>
      <c r="F174" s="6">
        <v>0.0</v>
      </c>
      <c r="G174" s="6">
        <v>100.0</v>
      </c>
      <c r="H174" s="6">
        <v>0.0</v>
      </c>
      <c r="I174" s="6">
        <v>0.0</v>
      </c>
      <c r="J174" s="6">
        <v>100.0</v>
      </c>
      <c r="K174" s="6">
        <v>0.0</v>
      </c>
      <c r="L174" s="9"/>
    </row>
    <row r="175" ht="15.75" customHeight="1">
      <c r="B175" s="6" t="s">
        <v>292</v>
      </c>
      <c r="C175" s="6" t="s">
        <v>293</v>
      </c>
      <c r="D175" s="6" t="s">
        <v>65</v>
      </c>
      <c r="E175" s="6">
        <v>1000.0</v>
      </c>
      <c r="F175" s="6">
        <v>0.0</v>
      </c>
      <c r="G175" s="6">
        <v>0.0</v>
      </c>
      <c r="H175" s="6">
        <v>1000.0</v>
      </c>
      <c r="I175" s="6">
        <v>0.0</v>
      </c>
      <c r="J175" s="6">
        <v>1000.0</v>
      </c>
      <c r="K175" s="6">
        <v>0.0</v>
      </c>
      <c r="L175" s="9"/>
    </row>
    <row r="176" ht="15.75" customHeight="1">
      <c r="E176" s="6">
        <f t="shared" ref="E176:H176" si="24">SUM(E173:E175)</f>
        <v>1500</v>
      </c>
      <c r="F176" s="6">
        <f t="shared" si="24"/>
        <v>0</v>
      </c>
      <c r="G176" s="6">
        <f t="shared" si="24"/>
        <v>500</v>
      </c>
      <c r="H176" s="6">
        <f t="shared" si="24"/>
        <v>1000</v>
      </c>
      <c r="I176" s="6">
        <v>0.0</v>
      </c>
      <c r="J176" s="6">
        <f>SUM(J173:J175)</f>
        <v>1500</v>
      </c>
      <c r="K176" s="6">
        <v>0.0</v>
      </c>
      <c r="L176" s="9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9"/>
    </row>
    <row r="178" ht="15.75" customHeight="1">
      <c r="A178" s="5">
        <v>45714.0</v>
      </c>
      <c r="B178" s="6" t="s">
        <v>294</v>
      </c>
      <c r="C178" s="6" t="s">
        <v>295</v>
      </c>
      <c r="D178" s="6" t="s">
        <v>296</v>
      </c>
      <c r="E178" s="6">
        <v>600.0</v>
      </c>
      <c r="F178" s="6">
        <v>600.0</v>
      </c>
      <c r="G178" s="6">
        <v>0.0</v>
      </c>
      <c r="H178" s="6">
        <v>0.0</v>
      </c>
      <c r="I178" s="6">
        <v>0.0</v>
      </c>
      <c r="J178" s="6">
        <v>600.0</v>
      </c>
      <c r="K178" s="6">
        <v>0.0</v>
      </c>
      <c r="L178" s="9"/>
    </row>
    <row r="179" ht="15.75" customHeight="1">
      <c r="B179" s="6" t="s">
        <v>297</v>
      </c>
      <c r="C179" s="6" t="s">
        <v>298</v>
      </c>
      <c r="D179" s="6" t="s">
        <v>299</v>
      </c>
      <c r="E179" s="6">
        <v>100.0</v>
      </c>
      <c r="F179" s="6">
        <v>100.0</v>
      </c>
      <c r="G179" s="6">
        <v>0.0</v>
      </c>
      <c r="H179" s="6">
        <v>0.0</v>
      </c>
      <c r="I179" s="6">
        <v>0.0</v>
      </c>
      <c r="J179" s="6">
        <v>100.0</v>
      </c>
      <c r="K179" s="6">
        <v>0.0</v>
      </c>
      <c r="L179" s="9"/>
    </row>
    <row r="180" ht="15.75" customHeight="1">
      <c r="B180" s="6" t="s">
        <v>219</v>
      </c>
      <c r="C180" s="6" t="s">
        <v>300</v>
      </c>
      <c r="D180" s="6" t="s">
        <v>301</v>
      </c>
      <c r="E180" s="6">
        <v>500.0</v>
      </c>
      <c r="F180" s="6">
        <v>500.0</v>
      </c>
      <c r="G180" s="6">
        <v>0.0</v>
      </c>
      <c r="H180" s="6">
        <v>0.0</v>
      </c>
      <c r="I180" s="6">
        <v>0.0</v>
      </c>
      <c r="J180" s="6">
        <v>500.0</v>
      </c>
      <c r="K180" s="6">
        <v>0.0</v>
      </c>
      <c r="L180" s="9"/>
    </row>
    <row r="181" ht="15.75" customHeight="1">
      <c r="B181" s="6" t="s">
        <v>243</v>
      </c>
      <c r="C181" s="6" t="s">
        <v>302</v>
      </c>
      <c r="D181" s="6" t="s">
        <v>303</v>
      </c>
      <c r="E181" s="6">
        <v>20.0</v>
      </c>
      <c r="F181" s="6">
        <v>0.0</v>
      </c>
      <c r="G181" s="6">
        <v>20.0</v>
      </c>
      <c r="H181" s="6">
        <v>0.0</v>
      </c>
      <c r="I181" s="6">
        <v>0.0</v>
      </c>
      <c r="J181" s="6">
        <v>20.0</v>
      </c>
      <c r="K181" s="6">
        <v>0.0</v>
      </c>
      <c r="L181" s="9"/>
    </row>
    <row r="182" ht="15.75" customHeight="1">
      <c r="B182" s="6" t="s">
        <v>304</v>
      </c>
      <c r="C182" s="6" t="s">
        <v>305</v>
      </c>
      <c r="D182" s="6" t="s">
        <v>306</v>
      </c>
      <c r="E182" s="6">
        <v>1500.0</v>
      </c>
      <c r="F182" s="6">
        <v>1500.0</v>
      </c>
      <c r="G182" s="6">
        <v>0.0</v>
      </c>
      <c r="H182" s="6">
        <v>0.0</v>
      </c>
      <c r="I182" s="6">
        <v>0.0</v>
      </c>
      <c r="J182" s="6">
        <v>1500.0</v>
      </c>
      <c r="K182" s="6">
        <v>0.0</v>
      </c>
      <c r="L182" s="9"/>
    </row>
    <row r="183" ht="15.75" customHeight="1">
      <c r="A183" s="6" t="s">
        <v>88</v>
      </c>
      <c r="B183" s="6"/>
      <c r="E183" s="6">
        <f t="shared" ref="E183:K183" si="25">SUM(E178:E182)</f>
        <v>2720</v>
      </c>
      <c r="F183" s="6">
        <f t="shared" si="25"/>
        <v>2700</v>
      </c>
      <c r="G183" s="6">
        <f t="shared" si="25"/>
        <v>20</v>
      </c>
      <c r="H183" s="6">
        <f t="shared" si="25"/>
        <v>0</v>
      </c>
      <c r="I183" s="6">
        <f t="shared" si="25"/>
        <v>0</v>
      </c>
      <c r="J183" s="6">
        <f t="shared" si="25"/>
        <v>2720</v>
      </c>
      <c r="K183" s="6">
        <f t="shared" si="25"/>
        <v>0</v>
      </c>
      <c r="L183" s="9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9"/>
    </row>
    <row r="185" ht="15.75" customHeight="1">
      <c r="A185" s="5">
        <v>45715.0</v>
      </c>
      <c r="B185" s="6" t="s">
        <v>307</v>
      </c>
      <c r="C185" s="6" t="s">
        <v>308</v>
      </c>
      <c r="D185" s="6" t="s">
        <v>51</v>
      </c>
      <c r="E185" s="6">
        <v>300.0</v>
      </c>
      <c r="F185" s="6">
        <v>300.0</v>
      </c>
      <c r="G185" s="6">
        <v>0.0</v>
      </c>
      <c r="H185" s="6">
        <v>0.0</v>
      </c>
      <c r="I185" s="6">
        <v>0.0</v>
      </c>
      <c r="J185" s="6">
        <v>300.0</v>
      </c>
      <c r="K185" s="6">
        <v>0.0</v>
      </c>
      <c r="L185" s="9"/>
    </row>
    <row r="186" ht="15.75" customHeight="1">
      <c r="B186" s="6" t="s">
        <v>309</v>
      </c>
      <c r="C186" s="6" t="s">
        <v>310</v>
      </c>
      <c r="D186" s="6" t="s">
        <v>296</v>
      </c>
      <c r="E186" s="6">
        <v>150.0</v>
      </c>
      <c r="F186" s="6">
        <v>150.0</v>
      </c>
      <c r="G186" s="6">
        <v>0.0</v>
      </c>
      <c r="H186" s="6">
        <v>0.0</v>
      </c>
      <c r="I186" s="6">
        <v>0.0</v>
      </c>
      <c r="J186" s="6">
        <v>150.0</v>
      </c>
      <c r="K186" s="6">
        <v>0.0</v>
      </c>
      <c r="L186" s="9"/>
    </row>
    <row r="187" ht="15.75" customHeight="1">
      <c r="B187" s="6" t="s">
        <v>311</v>
      </c>
      <c r="C187" s="6" t="s">
        <v>312</v>
      </c>
      <c r="D187" s="6" t="s">
        <v>313</v>
      </c>
      <c r="E187" s="6">
        <v>350.0</v>
      </c>
      <c r="F187" s="6">
        <v>350.0</v>
      </c>
      <c r="G187" s="6">
        <v>0.0</v>
      </c>
      <c r="H187" s="6">
        <v>0.0</v>
      </c>
      <c r="I187" s="6">
        <v>0.0</v>
      </c>
      <c r="J187" s="6">
        <v>350.0</v>
      </c>
      <c r="K187" s="6">
        <v>0.0</v>
      </c>
      <c r="L187" s="9"/>
    </row>
    <row r="188" ht="15.75" customHeight="1">
      <c r="B188" s="6" t="s">
        <v>314</v>
      </c>
      <c r="C188" s="6" t="s">
        <v>315</v>
      </c>
      <c r="D188" s="6" t="s">
        <v>316</v>
      </c>
      <c r="E188" s="6">
        <v>400.0</v>
      </c>
      <c r="F188" s="6">
        <v>400.0</v>
      </c>
      <c r="G188" s="6">
        <v>0.0</v>
      </c>
      <c r="H188" s="6">
        <v>0.0</v>
      </c>
      <c r="I188" s="6">
        <v>0.0</v>
      </c>
      <c r="J188" s="6">
        <v>400.0</v>
      </c>
      <c r="K188" s="6">
        <v>0.0</v>
      </c>
      <c r="L188" s="9"/>
    </row>
    <row r="189" ht="15.75" customHeight="1">
      <c r="B189" s="6" t="s">
        <v>317</v>
      </c>
      <c r="C189" s="6" t="s">
        <v>318</v>
      </c>
      <c r="D189" s="6" t="s">
        <v>291</v>
      </c>
      <c r="E189" s="6">
        <v>100.0</v>
      </c>
      <c r="F189" s="6">
        <v>100.0</v>
      </c>
      <c r="G189" s="6">
        <v>0.0</v>
      </c>
      <c r="H189" s="6">
        <v>0.0</v>
      </c>
      <c r="I189" s="6">
        <v>0.0</v>
      </c>
      <c r="J189" s="6">
        <v>100.0</v>
      </c>
      <c r="K189" s="6">
        <v>0.0</v>
      </c>
      <c r="L189" s="9"/>
    </row>
    <row r="190" ht="15.75" customHeight="1">
      <c r="B190" s="6" t="s">
        <v>292</v>
      </c>
      <c r="C190" s="6" t="s">
        <v>319</v>
      </c>
      <c r="D190" s="6" t="s">
        <v>320</v>
      </c>
      <c r="E190" s="6">
        <v>350.0</v>
      </c>
      <c r="F190" s="6">
        <v>0.0</v>
      </c>
      <c r="G190" s="6">
        <v>350.0</v>
      </c>
      <c r="H190" s="6">
        <v>0.0</v>
      </c>
      <c r="I190" s="6">
        <v>0.0</v>
      </c>
      <c r="J190" s="6">
        <v>350.0</v>
      </c>
      <c r="K190" s="6">
        <v>0.0</v>
      </c>
      <c r="L190" s="9"/>
    </row>
    <row r="191" ht="15.75" customHeight="1">
      <c r="B191" s="6" t="s">
        <v>321</v>
      </c>
      <c r="C191" s="6" t="s">
        <v>65</v>
      </c>
      <c r="D191" s="6" t="s">
        <v>322</v>
      </c>
      <c r="E191" s="6">
        <v>50.0</v>
      </c>
      <c r="F191" s="6">
        <v>0.0</v>
      </c>
      <c r="G191" s="6">
        <v>0.0</v>
      </c>
      <c r="H191" s="6">
        <v>50.0</v>
      </c>
      <c r="I191" s="6">
        <v>0.0</v>
      </c>
      <c r="J191" s="6">
        <v>50.0</v>
      </c>
      <c r="K191" s="6">
        <v>0.0</v>
      </c>
      <c r="L191" s="9"/>
    </row>
    <row r="192" ht="15.75" customHeight="1">
      <c r="E192" s="6">
        <f t="shared" ref="E192:K192" si="26">SUM(E185:E191)</f>
        <v>1700</v>
      </c>
      <c r="F192" s="6">
        <f t="shared" si="26"/>
        <v>1300</v>
      </c>
      <c r="G192" s="6">
        <f t="shared" si="26"/>
        <v>350</v>
      </c>
      <c r="H192" s="6">
        <f t="shared" si="26"/>
        <v>50</v>
      </c>
      <c r="I192" s="6">
        <f t="shared" si="26"/>
        <v>0</v>
      </c>
      <c r="J192" s="6">
        <f t="shared" si="26"/>
        <v>1700</v>
      </c>
      <c r="K192" s="6">
        <f t="shared" si="26"/>
        <v>0</v>
      </c>
      <c r="L192" s="9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 t="s">
        <v>323</v>
      </c>
      <c r="L193" s="9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9"/>
    </row>
    <row r="195" ht="15.75" customHeight="1">
      <c r="A195" s="5">
        <v>45719.0</v>
      </c>
      <c r="B195" s="6" t="s">
        <v>125</v>
      </c>
      <c r="C195" s="6" t="s">
        <v>324</v>
      </c>
      <c r="D195" s="6" t="s">
        <v>127</v>
      </c>
      <c r="E195" s="6">
        <v>300.0</v>
      </c>
      <c r="F195" s="6">
        <v>300.0</v>
      </c>
      <c r="G195" s="6">
        <v>0.0</v>
      </c>
      <c r="H195" s="6">
        <v>0.0</v>
      </c>
      <c r="I195" s="6">
        <v>300.0</v>
      </c>
      <c r="J195" s="6">
        <v>0.0</v>
      </c>
      <c r="K195" s="6">
        <v>0.0</v>
      </c>
      <c r="L195" s="9"/>
    </row>
    <row r="196" ht="15.75" customHeight="1">
      <c r="B196" s="6" t="s">
        <v>251</v>
      </c>
      <c r="C196" s="6" t="s">
        <v>325</v>
      </c>
      <c r="D196" s="6" t="s">
        <v>326</v>
      </c>
      <c r="E196" s="6">
        <v>100.0</v>
      </c>
      <c r="F196" s="6">
        <v>100.0</v>
      </c>
      <c r="G196" s="6">
        <v>0.0</v>
      </c>
      <c r="H196" s="6">
        <v>0.0</v>
      </c>
      <c r="I196" s="6">
        <v>100.0</v>
      </c>
      <c r="J196" s="6">
        <v>0.0</v>
      </c>
      <c r="K196" s="6">
        <v>0.0</v>
      </c>
      <c r="L196" s="9"/>
    </row>
    <row r="197" ht="15.75" customHeight="1">
      <c r="B197" s="6" t="s">
        <v>327</v>
      </c>
      <c r="C197" s="6" t="s">
        <v>322</v>
      </c>
      <c r="D197" s="6" t="s">
        <v>65</v>
      </c>
      <c r="E197" s="6">
        <v>50.0</v>
      </c>
      <c r="F197" s="6">
        <v>0.0</v>
      </c>
      <c r="G197" s="6">
        <v>0.0</v>
      </c>
      <c r="H197" s="6">
        <v>50.0</v>
      </c>
      <c r="I197" s="6">
        <v>0.0</v>
      </c>
      <c r="J197" s="6">
        <v>50.0</v>
      </c>
      <c r="K197" s="6">
        <v>0.0</v>
      </c>
      <c r="L197" s="9"/>
    </row>
    <row r="198" ht="15.75" customHeight="1">
      <c r="B198" s="6" t="s">
        <v>328</v>
      </c>
      <c r="C198" s="6" t="s">
        <v>322</v>
      </c>
      <c r="D198" s="6" t="s">
        <v>65</v>
      </c>
      <c r="E198" s="6">
        <v>50.0</v>
      </c>
      <c r="F198" s="6">
        <v>0.0</v>
      </c>
      <c r="G198" s="6">
        <v>0.0</v>
      </c>
      <c r="H198" s="6">
        <v>50.0</v>
      </c>
      <c r="I198" s="6">
        <v>0.0</v>
      </c>
      <c r="J198" s="6">
        <v>50.0</v>
      </c>
      <c r="K198" s="6">
        <v>0.0</v>
      </c>
      <c r="L198" s="9"/>
    </row>
    <row r="199" ht="15.75" customHeight="1">
      <c r="B199" s="16" t="s">
        <v>329</v>
      </c>
      <c r="C199" s="6" t="s">
        <v>322</v>
      </c>
      <c r="D199" s="6" t="s">
        <v>65</v>
      </c>
      <c r="E199" s="6">
        <v>50.0</v>
      </c>
      <c r="F199" s="6">
        <v>0.0</v>
      </c>
      <c r="G199" s="6">
        <v>50.0</v>
      </c>
      <c r="H199" s="6">
        <v>0.0</v>
      </c>
      <c r="I199" s="6">
        <v>0.0</v>
      </c>
      <c r="J199" s="6">
        <v>0.0</v>
      </c>
      <c r="K199" s="6">
        <v>0.0</v>
      </c>
      <c r="L199" s="9"/>
    </row>
    <row r="200" ht="15.75" customHeight="1">
      <c r="A200" s="6"/>
      <c r="B200" s="6"/>
      <c r="C200" s="6"/>
      <c r="D200" s="6"/>
      <c r="E200" s="6">
        <f>SUM(E195:E199)</f>
        <v>550</v>
      </c>
      <c r="F200" s="6">
        <v>400.0</v>
      </c>
      <c r="G200" s="6">
        <v>0.0</v>
      </c>
      <c r="H200" s="6">
        <v>100.0</v>
      </c>
      <c r="I200" s="6">
        <v>400.0</v>
      </c>
      <c r="J200" s="6">
        <v>0.0</v>
      </c>
      <c r="K200" s="6">
        <v>0.0</v>
      </c>
      <c r="L200" s="9"/>
    </row>
    <row r="201" ht="15.75" customHeight="1">
      <c r="A201" s="6" t="s">
        <v>88</v>
      </c>
      <c r="B201" s="6" t="s">
        <v>330</v>
      </c>
      <c r="C201" s="6" t="s">
        <v>331</v>
      </c>
      <c r="D201" s="6" t="s">
        <v>152</v>
      </c>
      <c r="E201" s="6">
        <v>450.0</v>
      </c>
      <c r="F201" s="6">
        <v>0.0</v>
      </c>
      <c r="G201" s="6">
        <v>0.0</v>
      </c>
      <c r="H201" s="6">
        <v>450.0</v>
      </c>
      <c r="I201" s="6">
        <v>0.0</v>
      </c>
      <c r="J201" s="6">
        <v>450.0</v>
      </c>
      <c r="K201" s="6">
        <v>0.0</v>
      </c>
      <c r="L201" s="9"/>
    </row>
    <row r="202" ht="15.75" customHeight="1">
      <c r="B202" s="6" t="s">
        <v>332</v>
      </c>
      <c r="C202" s="6" t="s">
        <v>333</v>
      </c>
      <c r="D202" s="6" t="s">
        <v>334</v>
      </c>
      <c r="E202" s="6">
        <v>80.0</v>
      </c>
      <c r="F202" s="6">
        <v>0.0</v>
      </c>
      <c r="G202" s="6">
        <v>0.0</v>
      </c>
      <c r="H202" s="6">
        <v>80.0</v>
      </c>
      <c r="I202" s="6">
        <v>0.0</v>
      </c>
      <c r="J202" s="6">
        <v>80.0</v>
      </c>
      <c r="K202" s="6">
        <v>0.0</v>
      </c>
      <c r="L202" s="9"/>
    </row>
    <row r="203" ht="15.75" customHeight="1">
      <c r="B203" s="6" t="s">
        <v>335</v>
      </c>
      <c r="C203" s="6" t="s">
        <v>336</v>
      </c>
      <c r="D203" s="6" t="s">
        <v>337</v>
      </c>
      <c r="E203" s="6">
        <v>300.0</v>
      </c>
      <c r="F203" s="6">
        <v>0.0</v>
      </c>
      <c r="G203" s="6">
        <v>0.0</v>
      </c>
      <c r="H203" s="6">
        <v>300.0</v>
      </c>
      <c r="I203" s="6">
        <v>0.0</v>
      </c>
      <c r="J203" s="6">
        <v>300.0</v>
      </c>
      <c r="K203" s="6">
        <v>0.0</v>
      </c>
      <c r="L203" s="9"/>
    </row>
    <row r="204" ht="15.75" customHeight="1">
      <c r="E204" s="6">
        <f>SUM(E201:E203)</f>
        <v>830</v>
      </c>
      <c r="F204" s="6">
        <v>0.0</v>
      </c>
      <c r="H204" s="6">
        <f>SUM(H201:H203)</f>
        <v>830</v>
      </c>
      <c r="I204" s="6">
        <v>0.0</v>
      </c>
      <c r="J204" s="6">
        <f t="shared" ref="J204:K204" si="27">SUM(J195:J203)</f>
        <v>930</v>
      </c>
      <c r="K204" s="6">
        <f t="shared" si="27"/>
        <v>0</v>
      </c>
      <c r="L204" s="9"/>
    </row>
    <row r="205" ht="15.75" customHeight="1">
      <c r="E205" s="6"/>
      <c r="F205" s="6">
        <v>400.0</v>
      </c>
      <c r="G205" s="6">
        <v>50.0</v>
      </c>
      <c r="H205" s="6">
        <v>1380.0</v>
      </c>
      <c r="I205" s="6">
        <v>400.0</v>
      </c>
      <c r="J205" s="6">
        <f>SUM(J195:J204)</f>
        <v>1860</v>
      </c>
      <c r="L205" s="9"/>
    </row>
    <row r="206" ht="15.75" customHeight="1">
      <c r="D206" s="6" t="s">
        <v>338</v>
      </c>
      <c r="E206" s="6">
        <v>1380.0</v>
      </c>
      <c r="H206" s="6"/>
      <c r="L206" s="9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9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9"/>
    </row>
    <row r="209" ht="15.75" customHeight="1">
      <c r="A209" s="5">
        <v>45720.0</v>
      </c>
      <c r="B209" s="6" t="s">
        <v>339</v>
      </c>
      <c r="C209" s="6" t="s">
        <v>340</v>
      </c>
      <c r="D209" s="6" t="s">
        <v>341</v>
      </c>
      <c r="E209" s="6">
        <v>350.0</v>
      </c>
      <c r="F209" s="6">
        <v>0.0</v>
      </c>
      <c r="G209" s="6">
        <v>350.0</v>
      </c>
      <c r="H209" s="6">
        <v>0.0</v>
      </c>
      <c r="I209" s="6">
        <v>350.0</v>
      </c>
      <c r="J209" s="6">
        <v>0.0</v>
      </c>
      <c r="K209" s="6">
        <v>0.0</v>
      </c>
      <c r="L209" s="9"/>
    </row>
    <row r="210" ht="15.75" customHeight="1">
      <c r="B210" s="6" t="s">
        <v>225</v>
      </c>
      <c r="C210" s="6" t="s">
        <v>342</v>
      </c>
      <c r="D210" s="6" t="s">
        <v>343</v>
      </c>
      <c r="E210" s="6">
        <v>850.0</v>
      </c>
      <c r="F210" s="6">
        <v>0.0</v>
      </c>
      <c r="G210" s="6">
        <v>850.0</v>
      </c>
      <c r="H210" s="6">
        <v>0.0</v>
      </c>
      <c r="I210" s="6">
        <v>850.0</v>
      </c>
      <c r="J210" s="6">
        <v>0.0</v>
      </c>
      <c r="K210" s="6">
        <v>0.0</v>
      </c>
      <c r="L210" s="9"/>
    </row>
    <row r="211" ht="15.75" customHeight="1">
      <c r="B211" s="6" t="s">
        <v>344</v>
      </c>
      <c r="C211" s="6" t="s">
        <v>345</v>
      </c>
      <c r="D211" s="6" t="s">
        <v>346</v>
      </c>
      <c r="E211" s="6">
        <v>800.0</v>
      </c>
      <c r="F211" s="6">
        <v>800.0</v>
      </c>
      <c r="G211" s="6">
        <v>0.0</v>
      </c>
      <c r="H211" s="6">
        <v>0.0</v>
      </c>
      <c r="I211" s="6">
        <v>500.0</v>
      </c>
      <c r="J211" s="6">
        <v>0.0</v>
      </c>
      <c r="K211" s="6">
        <v>0.0</v>
      </c>
      <c r="L211" s="9"/>
    </row>
    <row r="212" ht="15.75" customHeight="1">
      <c r="B212" s="6" t="s">
        <v>347</v>
      </c>
      <c r="C212" s="6" t="s">
        <v>348</v>
      </c>
      <c r="D212" s="6" t="s">
        <v>349</v>
      </c>
      <c r="E212" s="6">
        <v>500.0</v>
      </c>
      <c r="F212" s="6">
        <v>0.0</v>
      </c>
      <c r="G212" s="6">
        <v>500.0</v>
      </c>
      <c r="H212" s="6">
        <v>0.0</v>
      </c>
      <c r="I212" s="6">
        <v>500.0</v>
      </c>
      <c r="J212" s="6">
        <v>0.0</v>
      </c>
      <c r="K212" s="6">
        <v>0.0</v>
      </c>
      <c r="L212" s="9"/>
    </row>
    <row r="213" ht="15.75" customHeight="1">
      <c r="E213" s="6">
        <f t="shared" ref="E213:G213" si="28">SUM(E209:E212)</f>
        <v>2500</v>
      </c>
      <c r="F213" s="6">
        <f t="shared" si="28"/>
        <v>800</v>
      </c>
      <c r="G213" s="6">
        <f t="shared" si="28"/>
        <v>1700</v>
      </c>
      <c r="I213" s="6">
        <f>SUM(I209:I212)</f>
        <v>2200</v>
      </c>
      <c r="K213" s="6" t="s">
        <v>350</v>
      </c>
      <c r="L213" s="9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9"/>
    </row>
    <row r="215" ht="15.75" customHeight="1">
      <c r="A215" s="5">
        <v>45721.0</v>
      </c>
      <c r="B215" s="6" t="s">
        <v>271</v>
      </c>
      <c r="C215" s="6" t="s">
        <v>351</v>
      </c>
      <c r="D215" s="6" t="s">
        <v>352</v>
      </c>
      <c r="E215" s="6">
        <v>500.0</v>
      </c>
      <c r="F215" s="6">
        <v>500.0</v>
      </c>
      <c r="G215" s="6">
        <v>0.0</v>
      </c>
      <c r="H215" s="6">
        <v>0.0</v>
      </c>
      <c r="I215" s="6">
        <v>500.0</v>
      </c>
      <c r="J215" s="6">
        <v>0.0</v>
      </c>
      <c r="L215" s="9"/>
    </row>
    <row r="216" ht="15.75" customHeight="1">
      <c r="B216" s="6" t="s">
        <v>353</v>
      </c>
      <c r="C216" s="6" t="s">
        <v>354</v>
      </c>
      <c r="D216" s="6" t="s">
        <v>355</v>
      </c>
      <c r="E216" s="6">
        <v>800.0</v>
      </c>
      <c r="F216" s="6">
        <v>400.0</v>
      </c>
      <c r="G216" s="6">
        <v>400.0</v>
      </c>
      <c r="H216" s="6">
        <v>0.0</v>
      </c>
      <c r="I216" s="6">
        <v>800.0</v>
      </c>
      <c r="J216" s="6">
        <v>0.0</v>
      </c>
      <c r="L216" s="9"/>
    </row>
    <row r="217" ht="15.75" customHeight="1">
      <c r="B217" s="6" t="s">
        <v>356</v>
      </c>
      <c r="C217" s="6" t="s">
        <v>354</v>
      </c>
      <c r="D217" s="6" t="s">
        <v>357</v>
      </c>
      <c r="E217" s="6">
        <v>300.0</v>
      </c>
      <c r="F217" s="6">
        <v>0.0</v>
      </c>
      <c r="G217" s="6">
        <v>600.0</v>
      </c>
      <c r="H217" s="6">
        <v>0.0</v>
      </c>
      <c r="I217" s="6">
        <v>300.0</v>
      </c>
      <c r="J217" s="6">
        <v>0.0</v>
      </c>
      <c r="L217" s="9"/>
    </row>
    <row r="218" ht="15.75" customHeight="1">
      <c r="B218" s="6" t="s">
        <v>358</v>
      </c>
      <c r="C218" s="6" t="s">
        <v>359</v>
      </c>
      <c r="D218" s="6" t="s">
        <v>157</v>
      </c>
      <c r="E218" s="6">
        <v>600.0</v>
      </c>
      <c r="F218" s="6">
        <v>0.0</v>
      </c>
      <c r="G218" s="6">
        <v>600.0</v>
      </c>
      <c r="H218" s="6">
        <v>0.0</v>
      </c>
      <c r="I218" s="6">
        <v>600.0</v>
      </c>
      <c r="J218" s="6">
        <v>0.0</v>
      </c>
      <c r="L218" s="9"/>
    </row>
    <row r="219" ht="15.75" customHeight="1">
      <c r="B219" s="6" t="s">
        <v>360</v>
      </c>
      <c r="C219" s="6" t="s">
        <v>361</v>
      </c>
      <c r="E219" s="6">
        <v>150.0</v>
      </c>
      <c r="F219" s="6">
        <v>0.0</v>
      </c>
      <c r="G219" s="6">
        <v>150.0</v>
      </c>
      <c r="H219" s="6">
        <v>0.0</v>
      </c>
      <c r="I219" s="6">
        <v>150.0</v>
      </c>
      <c r="J219" s="6">
        <v>0.0</v>
      </c>
      <c r="L219" s="9"/>
    </row>
    <row r="220" ht="15.75" customHeight="1">
      <c r="B220" s="6"/>
      <c r="C220" s="6"/>
      <c r="E220" s="6">
        <v>100.0</v>
      </c>
      <c r="F220" s="6">
        <v>0.0</v>
      </c>
      <c r="G220" s="6">
        <v>0.0</v>
      </c>
      <c r="H220" s="6">
        <v>100.0</v>
      </c>
      <c r="I220" s="6">
        <v>50.0</v>
      </c>
      <c r="J220" s="6">
        <v>0.0</v>
      </c>
      <c r="L220" s="9"/>
    </row>
    <row r="221" ht="15.75" customHeight="1">
      <c r="E221" s="6">
        <f t="shared" ref="E221:G221" si="29">SUM(E215:E220)</f>
        <v>2450</v>
      </c>
      <c r="F221" s="6">
        <f t="shared" si="29"/>
        <v>900</v>
      </c>
      <c r="G221" s="6">
        <f t="shared" si="29"/>
        <v>1750</v>
      </c>
      <c r="H221" s="6">
        <v>0.0</v>
      </c>
      <c r="I221" s="6">
        <f>SUM(I215:I220)</f>
        <v>2400</v>
      </c>
      <c r="J221" s="6">
        <v>0.0</v>
      </c>
      <c r="L221" s="9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 t="s">
        <v>362</v>
      </c>
      <c r="L222" s="9"/>
    </row>
    <row r="223" ht="15.75" customHeight="1">
      <c r="A223" s="5">
        <v>45722.0</v>
      </c>
      <c r="B223" s="6" t="s">
        <v>363</v>
      </c>
      <c r="C223" s="6" t="s">
        <v>364</v>
      </c>
      <c r="D223" s="6" t="s">
        <v>365</v>
      </c>
      <c r="E223" s="6">
        <v>80.0</v>
      </c>
      <c r="F223" s="6">
        <v>60.0</v>
      </c>
      <c r="G223" s="6">
        <v>0.0</v>
      </c>
      <c r="H223" s="6">
        <v>0.0</v>
      </c>
      <c r="I223" s="6">
        <v>80.0</v>
      </c>
      <c r="J223" s="6">
        <v>0.0</v>
      </c>
      <c r="K223" s="6">
        <v>0.0</v>
      </c>
      <c r="L223" s="9"/>
    </row>
    <row r="224" ht="15.75" customHeight="1">
      <c r="B224" s="6" t="s">
        <v>366</v>
      </c>
      <c r="C224" s="6" t="s">
        <v>367</v>
      </c>
      <c r="D224" s="6" t="s">
        <v>368</v>
      </c>
      <c r="E224" s="6">
        <v>450.0</v>
      </c>
      <c r="F224" s="6">
        <v>450.0</v>
      </c>
      <c r="G224" s="6">
        <v>0.0</v>
      </c>
      <c r="H224" s="6">
        <v>0.0</v>
      </c>
      <c r="I224" s="6">
        <v>450.0</v>
      </c>
      <c r="J224" s="6">
        <v>0.0</v>
      </c>
      <c r="K224" s="6">
        <v>0.0</v>
      </c>
      <c r="L224" s="9"/>
    </row>
    <row r="225" ht="15.75" customHeight="1">
      <c r="B225" s="6" t="s">
        <v>74</v>
      </c>
      <c r="C225" s="6" t="s">
        <v>369</v>
      </c>
      <c r="D225" s="6" t="s">
        <v>370</v>
      </c>
      <c r="E225" s="6">
        <v>150.0</v>
      </c>
      <c r="F225" s="6">
        <v>0.0</v>
      </c>
      <c r="G225" s="6">
        <v>150.0</v>
      </c>
      <c r="H225" s="6">
        <v>0.0</v>
      </c>
      <c r="I225" s="6">
        <v>150.0</v>
      </c>
      <c r="J225" s="6">
        <v>0.0</v>
      </c>
      <c r="K225" s="6">
        <v>0.0</v>
      </c>
      <c r="L225" s="9"/>
    </row>
    <row r="226" ht="15.75" customHeight="1">
      <c r="E226" s="6">
        <f t="shared" ref="E226:J226" si="30">SUM(E223:E225)</f>
        <v>680</v>
      </c>
      <c r="F226" s="6">
        <f t="shared" si="30"/>
        <v>510</v>
      </c>
      <c r="G226" s="6">
        <f t="shared" si="30"/>
        <v>150</v>
      </c>
      <c r="H226" s="6">
        <f t="shared" si="30"/>
        <v>0</v>
      </c>
      <c r="I226" s="6">
        <f t="shared" si="30"/>
        <v>680</v>
      </c>
      <c r="J226" s="6">
        <f t="shared" si="30"/>
        <v>0</v>
      </c>
      <c r="K226" s="6">
        <v>0.0</v>
      </c>
      <c r="L226" s="9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9"/>
    </row>
    <row r="228" ht="15.75" customHeight="1">
      <c r="A228" s="5">
        <v>45726.0</v>
      </c>
      <c r="B228" s="6" t="s">
        <v>371</v>
      </c>
      <c r="C228" s="6" t="s">
        <v>372</v>
      </c>
      <c r="D228" s="6" t="s">
        <v>373</v>
      </c>
      <c r="E228" s="6">
        <v>800.0</v>
      </c>
      <c r="F228" s="6">
        <v>800.0</v>
      </c>
      <c r="G228" s="6">
        <v>0.0</v>
      </c>
      <c r="H228" s="6">
        <v>0.0</v>
      </c>
      <c r="I228" s="6">
        <v>0.0</v>
      </c>
      <c r="J228" s="6">
        <v>800.0</v>
      </c>
      <c r="K228" s="6">
        <v>0.0</v>
      </c>
      <c r="L228" s="9"/>
    </row>
    <row r="229" ht="15.75" customHeight="1">
      <c r="B229" s="6" t="s">
        <v>168</v>
      </c>
      <c r="C229" s="6" t="s">
        <v>374</v>
      </c>
      <c r="D229" s="6" t="s">
        <v>352</v>
      </c>
      <c r="E229" s="6">
        <v>500.0</v>
      </c>
      <c r="F229" s="6">
        <v>500.0</v>
      </c>
      <c r="G229" s="6">
        <v>0.0</v>
      </c>
      <c r="H229" s="6">
        <v>0.0</v>
      </c>
      <c r="I229" s="6">
        <v>0.0</v>
      </c>
      <c r="J229" s="6">
        <v>500.0</v>
      </c>
      <c r="K229" s="6">
        <v>0.0</v>
      </c>
      <c r="L229" s="9"/>
    </row>
    <row r="230" ht="15.75" customHeight="1">
      <c r="B230" s="6" t="s">
        <v>251</v>
      </c>
      <c r="C230" s="6" t="s">
        <v>375</v>
      </c>
      <c r="D230" s="6" t="s">
        <v>376</v>
      </c>
      <c r="E230" s="6">
        <v>100.0</v>
      </c>
      <c r="F230" s="6">
        <v>100.0</v>
      </c>
      <c r="G230" s="6">
        <v>0.0</v>
      </c>
      <c r="H230" s="6">
        <v>0.0</v>
      </c>
      <c r="I230" s="6">
        <v>100.0</v>
      </c>
      <c r="J230" s="6">
        <v>0.0</v>
      </c>
      <c r="K230" s="6">
        <v>0.0</v>
      </c>
      <c r="L230" s="9"/>
    </row>
    <row r="231" ht="15.75" customHeight="1">
      <c r="B231" s="6" t="s">
        <v>292</v>
      </c>
      <c r="C231" s="6" t="s">
        <v>377</v>
      </c>
      <c r="D231" s="6" t="s">
        <v>378</v>
      </c>
      <c r="E231" s="6">
        <v>950.0</v>
      </c>
      <c r="F231" s="6">
        <v>0.0</v>
      </c>
      <c r="G231" s="6">
        <v>950.0</v>
      </c>
      <c r="H231" s="6">
        <v>0.0</v>
      </c>
      <c r="I231" s="6">
        <v>0.0</v>
      </c>
      <c r="J231" s="6">
        <v>950.0</v>
      </c>
      <c r="K231" s="6">
        <v>0.0</v>
      </c>
      <c r="L231" s="9"/>
    </row>
    <row r="232" ht="15.75" customHeight="1">
      <c r="E232" s="6">
        <f>SUM(E228:E231)</f>
        <v>2350</v>
      </c>
      <c r="F232" s="6">
        <v>1200.0</v>
      </c>
      <c r="G232" s="6">
        <v>950.0</v>
      </c>
      <c r="H232" s="6">
        <v>0.0</v>
      </c>
      <c r="I232" s="6">
        <v>100.0</v>
      </c>
      <c r="J232" s="6">
        <f>SUM(J228:J231)</f>
        <v>2250</v>
      </c>
      <c r="K232" s="6">
        <v>0.0</v>
      </c>
      <c r="L232" s="9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9"/>
    </row>
    <row r="234" ht="15.75" customHeight="1">
      <c r="A234" s="5">
        <v>45727.0</v>
      </c>
      <c r="B234" s="6" t="s">
        <v>379</v>
      </c>
      <c r="C234" s="6" t="s">
        <v>380</v>
      </c>
      <c r="D234" s="6" t="s">
        <v>337</v>
      </c>
      <c r="E234" s="6">
        <v>450.0</v>
      </c>
      <c r="F234" s="6">
        <v>350.0</v>
      </c>
      <c r="G234" s="6">
        <v>100.0</v>
      </c>
      <c r="H234" s="6">
        <v>0.0</v>
      </c>
      <c r="I234" s="6">
        <v>0.0</v>
      </c>
      <c r="J234" s="6">
        <v>450.0</v>
      </c>
      <c r="K234" s="6">
        <v>0.0</v>
      </c>
      <c r="L234" s="9"/>
    </row>
    <row r="235" ht="15.75" customHeight="1">
      <c r="B235" s="6" t="s">
        <v>381</v>
      </c>
      <c r="C235" s="6" t="s">
        <v>382</v>
      </c>
      <c r="D235" s="6" t="s">
        <v>383</v>
      </c>
      <c r="E235" s="6">
        <v>250.0</v>
      </c>
      <c r="F235" s="6">
        <v>0.0</v>
      </c>
      <c r="G235" s="6">
        <v>250.0</v>
      </c>
      <c r="H235" s="6">
        <v>0.0</v>
      </c>
      <c r="I235" s="6">
        <v>0.0</v>
      </c>
      <c r="J235" s="6">
        <v>250.0</v>
      </c>
      <c r="K235" s="6">
        <v>0.0</v>
      </c>
      <c r="L235" s="9"/>
    </row>
    <row r="236" ht="15.75" customHeight="1">
      <c r="B236" s="6" t="s">
        <v>384</v>
      </c>
      <c r="C236" s="6" t="s">
        <v>385</v>
      </c>
      <c r="D236" s="6" t="s">
        <v>337</v>
      </c>
      <c r="E236" s="6">
        <v>250.0</v>
      </c>
      <c r="F236" s="6">
        <v>0.0</v>
      </c>
      <c r="G236" s="6">
        <v>250.0</v>
      </c>
      <c r="H236" s="6">
        <v>0.0</v>
      </c>
      <c r="I236" s="6">
        <v>0.0</v>
      </c>
      <c r="J236" s="6">
        <v>250.0</v>
      </c>
      <c r="K236" s="6">
        <v>0.0</v>
      </c>
      <c r="L236" s="9"/>
    </row>
    <row r="237" ht="15.75" customHeight="1">
      <c r="B237" s="6" t="s">
        <v>386</v>
      </c>
      <c r="C237" s="6" t="s">
        <v>387</v>
      </c>
      <c r="D237" s="6" t="s">
        <v>388</v>
      </c>
      <c r="E237" s="6">
        <v>250.0</v>
      </c>
      <c r="F237" s="6">
        <v>0.0</v>
      </c>
      <c r="G237" s="6">
        <v>250.0</v>
      </c>
      <c r="L237" s="9"/>
    </row>
    <row r="238" ht="15.75" customHeight="1">
      <c r="B238" s="6" t="s">
        <v>389</v>
      </c>
      <c r="C238" s="6" t="s">
        <v>390</v>
      </c>
      <c r="D238" s="6" t="s">
        <v>391</v>
      </c>
      <c r="E238" s="6">
        <v>600.0</v>
      </c>
      <c r="F238" s="6">
        <v>0.0</v>
      </c>
      <c r="G238" s="6">
        <v>600.0</v>
      </c>
      <c r="H238" s="6">
        <v>0.0</v>
      </c>
      <c r="I238" s="6">
        <v>0.0</v>
      </c>
      <c r="J238" s="6">
        <v>600.0</v>
      </c>
      <c r="K238" s="6">
        <v>0.0</v>
      </c>
      <c r="L238" s="9"/>
    </row>
    <row r="239" ht="15.75" customHeight="1">
      <c r="B239" s="6" t="s">
        <v>219</v>
      </c>
      <c r="C239" s="6" t="s">
        <v>392</v>
      </c>
      <c r="D239" s="6" t="s">
        <v>393</v>
      </c>
      <c r="E239" s="6">
        <v>730.0</v>
      </c>
      <c r="F239" s="6">
        <v>730.0</v>
      </c>
      <c r="G239" s="6">
        <v>0.0</v>
      </c>
      <c r="H239" s="6">
        <v>0.0</v>
      </c>
      <c r="I239" s="6">
        <v>0.0</v>
      </c>
      <c r="J239" s="6">
        <v>730.0</v>
      </c>
      <c r="K239" s="6">
        <v>0.0</v>
      </c>
      <c r="L239" s="9"/>
    </row>
    <row r="240" ht="15.75" customHeight="1">
      <c r="B240" s="6" t="s">
        <v>394</v>
      </c>
      <c r="C240" s="6" t="s">
        <v>395</v>
      </c>
      <c r="D240" s="6" t="s">
        <v>396</v>
      </c>
      <c r="E240" s="6">
        <v>45.0</v>
      </c>
      <c r="F240" s="6">
        <v>45.0</v>
      </c>
      <c r="G240" s="6">
        <v>0.0</v>
      </c>
      <c r="H240" s="6">
        <v>0.0</v>
      </c>
      <c r="I240" s="6">
        <v>0.0</v>
      </c>
      <c r="J240" s="6">
        <v>0.0</v>
      </c>
      <c r="K240" s="6">
        <v>45.0</v>
      </c>
      <c r="L240" s="9"/>
    </row>
    <row r="241" ht="15.75" customHeight="1">
      <c r="B241" s="6" t="s">
        <v>397</v>
      </c>
      <c r="C241" s="6" t="s">
        <v>398</v>
      </c>
      <c r="D241" s="6" t="s">
        <v>65</v>
      </c>
      <c r="E241" s="6">
        <v>50.0</v>
      </c>
      <c r="F241" s="6">
        <v>0.0</v>
      </c>
      <c r="G241" s="6">
        <v>0.0</v>
      </c>
      <c r="H241" s="6">
        <v>50.0</v>
      </c>
      <c r="I241" s="6">
        <v>0.0</v>
      </c>
      <c r="J241" s="6">
        <v>50.0</v>
      </c>
      <c r="K241" s="6">
        <v>0.0</v>
      </c>
      <c r="L241" s="9"/>
    </row>
    <row r="242" ht="15.75" customHeight="1">
      <c r="E242" s="6">
        <f t="shared" ref="E242:K242" si="31">SUM(E234:E241)</f>
        <v>2625</v>
      </c>
      <c r="F242" s="6">
        <f t="shared" si="31"/>
        <v>1125</v>
      </c>
      <c r="G242" s="6">
        <f t="shared" si="31"/>
        <v>1450</v>
      </c>
      <c r="H242" s="6">
        <f t="shared" si="31"/>
        <v>50</v>
      </c>
      <c r="I242" s="6">
        <f t="shared" si="31"/>
        <v>0</v>
      </c>
      <c r="J242" s="6">
        <f t="shared" si="31"/>
        <v>2330</v>
      </c>
      <c r="K242" s="6">
        <f t="shared" si="31"/>
        <v>45</v>
      </c>
      <c r="L242" s="9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9"/>
    </row>
    <row r="244" ht="15.75" customHeight="1">
      <c r="A244" s="5">
        <v>45728.0</v>
      </c>
      <c r="B244" s="6" t="s">
        <v>304</v>
      </c>
      <c r="C244" s="6" t="s">
        <v>399</v>
      </c>
      <c r="D244" s="6" t="s">
        <v>400</v>
      </c>
      <c r="E244" s="6">
        <v>1500.0</v>
      </c>
      <c r="F244" s="6">
        <v>1500.0</v>
      </c>
      <c r="G244" s="6">
        <v>0.0</v>
      </c>
      <c r="H244" s="6">
        <v>0.0</v>
      </c>
      <c r="I244" s="6">
        <v>0.0</v>
      </c>
      <c r="J244" s="6">
        <v>1500.0</v>
      </c>
      <c r="K244" s="6">
        <v>0.0</v>
      </c>
      <c r="L244" s="9"/>
    </row>
    <row r="245" ht="15.75" customHeight="1">
      <c r="B245" s="6" t="s">
        <v>401</v>
      </c>
      <c r="C245" s="6" t="s">
        <v>402</v>
      </c>
      <c r="D245" s="6" t="s">
        <v>224</v>
      </c>
      <c r="E245" s="6">
        <v>350.0</v>
      </c>
      <c r="F245" s="6">
        <v>350.0</v>
      </c>
      <c r="G245" s="6">
        <v>0.0</v>
      </c>
      <c r="H245" s="6">
        <v>0.0</v>
      </c>
      <c r="I245" s="6">
        <v>0.0</v>
      </c>
      <c r="J245" s="6">
        <v>350.0</v>
      </c>
      <c r="K245" s="6">
        <v>0.0</v>
      </c>
      <c r="L245" s="9"/>
    </row>
    <row r="246" ht="15.75" customHeight="1">
      <c r="B246" s="6" t="s">
        <v>403</v>
      </c>
      <c r="C246" s="6" t="s">
        <v>254</v>
      </c>
      <c r="D246" s="6" t="s">
        <v>51</v>
      </c>
      <c r="E246" s="6">
        <v>300.0</v>
      </c>
      <c r="F246" s="6">
        <v>0.0</v>
      </c>
      <c r="G246" s="6">
        <v>300.0</v>
      </c>
      <c r="H246" s="6">
        <v>0.0</v>
      </c>
      <c r="I246" s="6">
        <v>0.0</v>
      </c>
      <c r="J246" s="6">
        <v>300.0</v>
      </c>
      <c r="K246" s="6">
        <v>0.0</v>
      </c>
      <c r="L246" s="9"/>
    </row>
    <row r="247" ht="15.75" customHeight="1">
      <c r="B247" s="6" t="s">
        <v>404</v>
      </c>
      <c r="C247" s="6" t="s">
        <v>405</v>
      </c>
      <c r="D247" s="6" t="s">
        <v>406</v>
      </c>
      <c r="E247" s="6">
        <v>350.0</v>
      </c>
      <c r="F247" s="6">
        <v>0.0</v>
      </c>
      <c r="G247" s="6">
        <v>350.0</v>
      </c>
      <c r="I247" s="6">
        <v>0.0</v>
      </c>
      <c r="J247" s="6">
        <v>0.0</v>
      </c>
      <c r="K247" s="6">
        <v>0.0</v>
      </c>
      <c r="L247" s="9"/>
    </row>
    <row r="248" ht="15.75" customHeight="1">
      <c r="E248" s="6">
        <f t="shared" ref="E248:F248" si="32">SUM(E244:E247)</f>
        <v>2500</v>
      </c>
      <c r="F248" s="6">
        <f t="shared" si="32"/>
        <v>1850</v>
      </c>
      <c r="G248" s="6">
        <v>650.0</v>
      </c>
      <c r="H248" s="6">
        <v>0.0</v>
      </c>
      <c r="I248" s="6">
        <v>0.0</v>
      </c>
      <c r="J248" s="6">
        <v>650.0</v>
      </c>
      <c r="K248" s="6">
        <v>0.0</v>
      </c>
      <c r="L248" s="9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 t="s">
        <v>407</v>
      </c>
      <c r="L249" s="9"/>
    </row>
    <row r="250" ht="15.75" customHeight="1">
      <c r="A250" s="5">
        <v>45729.0</v>
      </c>
      <c r="B250" s="6" t="s">
        <v>408</v>
      </c>
      <c r="C250" s="6" t="s">
        <v>409</v>
      </c>
      <c r="D250" s="6" t="s">
        <v>248</v>
      </c>
      <c r="E250" s="6">
        <v>450.0</v>
      </c>
      <c r="F250" s="6">
        <v>0.0</v>
      </c>
      <c r="G250" s="6">
        <v>450.0</v>
      </c>
      <c r="H250" s="6">
        <v>0.0</v>
      </c>
      <c r="I250" s="6">
        <v>0.0</v>
      </c>
      <c r="J250" s="6">
        <v>450.0</v>
      </c>
      <c r="K250" s="6">
        <v>0.0</v>
      </c>
      <c r="L250" s="9"/>
    </row>
    <row r="251" ht="15.75" customHeight="1">
      <c r="B251" s="6" t="s">
        <v>408</v>
      </c>
      <c r="C251" s="6" t="s">
        <v>410</v>
      </c>
      <c r="D251" s="6" t="s">
        <v>65</v>
      </c>
      <c r="E251" s="6">
        <v>50.0</v>
      </c>
      <c r="F251" s="6">
        <v>0.0</v>
      </c>
      <c r="G251" s="6">
        <v>0.0</v>
      </c>
      <c r="H251" s="6">
        <v>50.0</v>
      </c>
      <c r="I251" s="6">
        <v>0.0</v>
      </c>
      <c r="J251" s="6">
        <v>50.0</v>
      </c>
      <c r="K251" s="6">
        <v>0.0</v>
      </c>
      <c r="L251" s="9"/>
    </row>
    <row r="252" ht="15.75" customHeight="1">
      <c r="B252" s="6" t="s">
        <v>411</v>
      </c>
      <c r="C252" s="6" t="s">
        <v>412</v>
      </c>
      <c r="D252" s="6" t="s">
        <v>413</v>
      </c>
      <c r="E252" s="6">
        <v>450.0</v>
      </c>
      <c r="F252" s="6">
        <v>0.0</v>
      </c>
      <c r="G252" s="6">
        <v>450.0</v>
      </c>
      <c r="H252" s="6">
        <v>0.0</v>
      </c>
      <c r="I252" s="6">
        <v>0.0</v>
      </c>
      <c r="J252" s="6">
        <v>450.0</v>
      </c>
      <c r="K252" s="6">
        <v>0.0</v>
      </c>
      <c r="L252" s="9"/>
    </row>
    <row r="253" ht="15.75" customHeight="1">
      <c r="B253" s="6" t="s">
        <v>411</v>
      </c>
      <c r="C253" s="6" t="s">
        <v>414</v>
      </c>
      <c r="D253" s="6" t="s">
        <v>65</v>
      </c>
      <c r="E253" s="6">
        <v>50.0</v>
      </c>
      <c r="F253" s="6">
        <v>0.0</v>
      </c>
      <c r="G253" s="6">
        <v>0.0</v>
      </c>
      <c r="H253" s="6">
        <v>50.0</v>
      </c>
      <c r="I253" s="6">
        <v>0.0</v>
      </c>
      <c r="J253" s="6">
        <v>50.0</v>
      </c>
      <c r="K253" s="6">
        <v>0.0</v>
      </c>
      <c r="L253" s="9"/>
    </row>
    <row r="254" ht="15.75" customHeight="1">
      <c r="B254" s="6" t="s">
        <v>415</v>
      </c>
      <c r="C254" s="6" t="s">
        <v>416</v>
      </c>
      <c r="D254" s="6" t="s">
        <v>417</v>
      </c>
      <c r="E254" s="6">
        <v>300.0</v>
      </c>
      <c r="F254" s="6">
        <v>0.0</v>
      </c>
      <c r="G254" s="6">
        <v>300.0</v>
      </c>
      <c r="H254" s="6">
        <v>0.0</v>
      </c>
      <c r="I254" s="6">
        <v>0.0</v>
      </c>
      <c r="J254" s="6">
        <v>300.0</v>
      </c>
      <c r="K254" s="6">
        <v>0.0</v>
      </c>
      <c r="L254" s="9"/>
    </row>
    <row r="255" ht="15.75" customHeight="1">
      <c r="B255" s="6" t="s">
        <v>418</v>
      </c>
      <c r="C255" s="6" t="s">
        <v>419</v>
      </c>
      <c r="D255" s="6" t="s">
        <v>65</v>
      </c>
      <c r="E255" s="6">
        <v>200.0</v>
      </c>
      <c r="F255" s="6">
        <v>200.0</v>
      </c>
      <c r="G255" s="6">
        <v>0.0</v>
      </c>
      <c r="H255" s="6">
        <v>0.0</v>
      </c>
      <c r="I255" s="6">
        <v>0.0</v>
      </c>
      <c r="J255" s="6">
        <v>200.0</v>
      </c>
      <c r="K255" s="6">
        <v>0.0</v>
      </c>
      <c r="L255" s="9"/>
    </row>
    <row r="256" ht="15.75" customHeight="1">
      <c r="E256" s="6">
        <f>SUM(E250:E255)</f>
        <v>1500</v>
      </c>
      <c r="F256" s="6">
        <v>200.0</v>
      </c>
      <c r="G256" s="6">
        <f t="shared" ref="G256:K256" si="33">SUM(G250:G255)</f>
        <v>1200</v>
      </c>
      <c r="H256" s="6">
        <f t="shared" si="33"/>
        <v>100</v>
      </c>
      <c r="I256" s="6">
        <f t="shared" si="33"/>
        <v>0</v>
      </c>
      <c r="J256" s="6">
        <f t="shared" si="33"/>
        <v>1500</v>
      </c>
      <c r="K256" s="6">
        <f t="shared" si="33"/>
        <v>0</v>
      </c>
      <c r="L256" s="9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9"/>
    </row>
    <row r="258" ht="15.75" customHeight="1">
      <c r="A258" s="5">
        <v>45730.0</v>
      </c>
      <c r="B258" s="6" t="s">
        <v>112</v>
      </c>
      <c r="C258" s="6" t="s">
        <v>420</v>
      </c>
      <c r="D258" s="6" t="s">
        <v>421</v>
      </c>
      <c r="E258" s="6">
        <v>120.0</v>
      </c>
      <c r="F258" s="6">
        <v>50.0</v>
      </c>
      <c r="G258" s="6">
        <v>70.0</v>
      </c>
      <c r="H258" s="6">
        <v>0.0</v>
      </c>
      <c r="I258" s="6">
        <v>0.0</v>
      </c>
      <c r="J258" s="6">
        <v>100.0</v>
      </c>
      <c r="K258" s="6">
        <v>20.0</v>
      </c>
      <c r="L258" s="9"/>
    </row>
    <row r="259" ht="15.75" customHeight="1">
      <c r="B259" s="6" t="s">
        <v>422</v>
      </c>
      <c r="C259" s="6" t="s">
        <v>423</v>
      </c>
      <c r="D259" s="6" t="s">
        <v>65</v>
      </c>
      <c r="E259" s="6">
        <v>50.0</v>
      </c>
      <c r="F259" s="6">
        <v>0.0</v>
      </c>
      <c r="G259" s="6">
        <v>0.0</v>
      </c>
      <c r="H259" s="6">
        <v>50.0</v>
      </c>
      <c r="I259" s="6">
        <v>0.0</v>
      </c>
      <c r="J259" s="6">
        <v>0.0</v>
      </c>
      <c r="K259" s="6">
        <v>0.0</v>
      </c>
      <c r="L259" s="9"/>
    </row>
    <row r="260" ht="15.75" customHeight="1">
      <c r="E260" s="6">
        <f t="shared" ref="E260:K260" si="34">SUM(E258:E259)</f>
        <v>170</v>
      </c>
      <c r="F260" s="6">
        <f t="shared" si="34"/>
        <v>50</v>
      </c>
      <c r="G260" s="6">
        <f t="shared" si="34"/>
        <v>70</v>
      </c>
      <c r="H260" s="6">
        <f t="shared" si="34"/>
        <v>50</v>
      </c>
      <c r="I260" s="6">
        <f t="shared" si="34"/>
        <v>0</v>
      </c>
      <c r="J260" s="6">
        <f t="shared" si="34"/>
        <v>100</v>
      </c>
      <c r="K260" s="6">
        <f t="shared" si="34"/>
        <v>20</v>
      </c>
      <c r="L260" s="9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9"/>
    </row>
    <row r="262" ht="15.75" customHeight="1">
      <c r="A262" s="5">
        <v>45733.0</v>
      </c>
      <c r="B262" s="6" t="s">
        <v>424</v>
      </c>
      <c r="C262" s="6" t="s">
        <v>423</v>
      </c>
      <c r="D262" s="6" t="s">
        <v>65</v>
      </c>
      <c r="E262" s="6">
        <v>50.0</v>
      </c>
      <c r="F262" s="6">
        <v>0.0</v>
      </c>
      <c r="G262" s="6">
        <v>0.0</v>
      </c>
      <c r="H262" s="6">
        <v>50.0</v>
      </c>
      <c r="I262" s="6">
        <v>0.0</v>
      </c>
      <c r="J262" s="6">
        <v>50.0</v>
      </c>
      <c r="K262" s="6">
        <v>0.0</v>
      </c>
      <c r="L262" s="9"/>
    </row>
    <row r="263" ht="15.75" customHeight="1">
      <c r="B263" s="6" t="s">
        <v>425</v>
      </c>
      <c r="C263" s="6" t="s">
        <v>423</v>
      </c>
      <c r="D263" s="6" t="s">
        <v>65</v>
      </c>
      <c r="E263" s="6">
        <v>50.0</v>
      </c>
      <c r="F263" s="6">
        <v>0.0</v>
      </c>
      <c r="G263" s="6">
        <v>0.0</v>
      </c>
      <c r="H263" s="6">
        <v>50.0</v>
      </c>
      <c r="I263" s="6">
        <v>0.0</v>
      </c>
      <c r="J263" s="6">
        <v>50.0</v>
      </c>
      <c r="K263" s="6">
        <v>0.0</v>
      </c>
      <c r="L263" s="9"/>
    </row>
    <row r="264" ht="15.75" customHeight="1">
      <c r="B264" s="6" t="s">
        <v>426</v>
      </c>
      <c r="C264" s="6" t="s">
        <v>427</v>
      </c>
      <c r="D264" s="6" t="s">
        <v>428</v>
      </c>
      <c r="E264" s="6">
        <v>100.0</v>
      </c>
      <c r="F264" s="6">
        <v>100.0</v>
      </c>
      <c r="G264" s="6">
        <v>0.0</v>
      </c>
      <c r="H264" s="6">
        <v>0.0</v>
      </c>
      <c r="I264" s="6">
        <v>100.0</v>
      </c>
      <c r="J264" s="6">
        <v>0.0</v>
      </c>
      <c r="K264" s="6">
        <v>0.0</v>
      </c>
      <c r="L264" s="9"/>
    </row>
    <row r="265" ht="15.75" customHeight="1">
      <c r="B265" s="6" t="s">
        <v>40</v>
      </c>
      <c r="C265" s="6" t="s">
        <v>429</v>
      </c>
      <c r="D265" s="6" t="s">
        <v>132</v>
      </c>
      <c r="E265" s="6">
        <v>700.0</v>
      </c>
      <c r="F265" s="6">
        <v>700.0</v>
      </c>
      <c r="G265" s="6">
        <v>0.0</v>
      </c>
      <c r="H265" s="6">
        <v>0.0</v>
      </c>
      <c r="I265" s="6">
        <v>0.0</v>
      </c>
      <c r="J265" s="6">
        <v>700.0</v>
      </c>
      <c r="K265" s="6">
        <v>0.0</v>
      </c>
      <c r="L265" s="9"/>
    </row>
    <row r="266" ht="15.75" customHeight="1">
      <c r="E266" s="6">
        <f t="shared" ref="E266:K266" si="35">SUM(E262:E265)</f>
        <v>900</v>
      </c>
      <c r="F266" s="6">
        <f t="shared" si="35"/>
        <v>800</v>
      </c>
      <c r="G266" s="6">
        <f t="shared" si="35"/>
        <v>0</v>
      </c>
      <c r="H266" s="6">
        <f t="shared" si="35"/>
        <v>100</v>
      </c>
      <c r="I266" s="6">
        <f t="shared" si="35"/>
        <v>100</v>
      </c>
      <c r="J266" s="6">
        <f t="shared" si="35"/>
        <v>800</v>
      </c>
      <c r="K266" s="6">
        <f t="shared" si="35"/>
        <v>0</v>
      </c>
      <c r="L266" s="9"/>
    </row>
    <row r="267" ht="15.75" customHeight="1">
      <c r="L267" s="9"/>
    </row>
    <row r="268" ht="15.75" customHeight="1">
      <c r="A268" s="6" t="s">
        <v>88</v>
      </c>
      <c r="B268" s="6" t="s">
        <v>332</v>
      </c>
      <c r="C268" s="6" t="s">
        <v>430</v>
      </c>
      <c r="D268" s="6" t="s">
        <v>431</v>
      </c>
      <c r="E268" s="6">
        <v>80.0</v>
      </c>
      <c r="F268" s="6">
        <v>0.0</v>
      </c>
      <c r="G268" s="6">
        <v>80.0</v>
      </c>
      <c r="H268" s="6">
        <v>0.0</v>
      </c>
      <c r="I268" s="6">
        <v>0.0</v>
      </c>
      <c r="J268" s="6">
        <v>80.0</v>
      </c>
      <c r="K268" s="6">
        <v>0.0</v>
      </c>
      <c r="L268" s="9"/>
    </row>
    <row r="269" ht="15.75" customHeight="1">
      <c r="B269" s="6" t="s">
        <v>432</v>
      </c>
      <c r="C269" s="6" t="s">
        <v>148</v>
      </c>
      <c r="D269" s="6" t="s">
        <v>433</v>
      </c>
      <c r="E269" s="6">
        <v>420.0</v>
      </c>
      <c r="F269" s="6">
        <v>0.0</v>
      </c>
      <c r="G269" s="6">
        <v>420.0</v>
      </c>
      <c r="H269" s="6">
        <v>0.0</v>
      </c>
      <c r="I269" s="6">
        <v>0.0</v>
      </c>
      <c r="J269" s="6">
        <v>420.0</v>
      </c>
      <c r="K269" s="6">
        <v>0.0</v>
      </c>
      <c r="L269" s="9"/>
    </row>
    <row r="270" ht="15.75" customHeight="1">
      <c r="B270" s="6" t="s">
        <v>434</v>
      </c>
      <c r="C270" s="6" t="s">
        <v>435</v>
      </c>
      <c r="E270" s="6">
        <v>750.0</v>
      </c>
      <c r="F270" s="6">
        <v>0.0</v>
      </c>
      <c r="G270" s="6">
        <v>750.0</v>
      </c>
      <c r="H270" s="6">
        <v>0.0</v>
      </c>
      <c r="I270" s="6">
        <v>0.0</v>
      </c>
      <c r="J270" s="6">
        <v>650.0</v>
      </c>
      <c r="K270" s="6">
        <v>100.0</v>
      </c>
      <c r="L270" s="9"/>
    </row>
    <row r="271" ht="15.75" customHeight="1">
      <c r="B271" s="6" t="s">
        <v>436</v>
      </c>
      <c r="C271" s="6" t="s">
        <v>437</v>
      </c>
      <c r="D271" s="6" t="s">
        <v>438</v>
      </c>
      <c r="E271" s="6">
        <v>550.0</v>
      </c>
      <c r="F271" s="6">
        <v>0.0</v>
      </c>
      <c r="G271" s="6">
        <v>0.0</v>
      </c>
      <c r="H271" s="6">
        <v>550.0</v>
      </c>
      <c r="I271" s="6">
        <v>0.0</v>
      </c>
      <c r="J271" s="6">
        <v>550.0</v>
      </c>
      <c r="K271" s="6">
        <v>0.0</v>
      </c>
      <c r="L271" s="9"/>
    </row>
    <row r="272" ht="15.75" customHeight="1">
      <c r="B272" s="6" t="s">
        <v>439</v>
      </c>
      <c r="C272" s="6" t="s">
        <v>440</v>
      </c>
      <c r="D272" s="6" t="s">
        <v>441</v>
      </c>
      <c r="E272" s="6">
        <v>100.0</v>
      </c>
      <c r="F272" s="6">
        <v>100.0</v>
      </c>
      <c r="G272" s="6">
        <v>0.0</v>
      </c>
      <c r="H272" s="6">
        <v>0.0</v>
      </c>
      <c r="I272" s="6">
        <v>100.0</v>
      </c>
      <c r="J272" s="6">
        <v>0.0</v>
      </c>
      <c r="K272" s="6">
        <v>0.0</v>
      </c>
      <c r="L272" s="9"/>
    </row>
    <row r="273" ht="15.75" customHeight="1">
      <c r="E273" s="6">
        <f>SUM(E268:E272)</f>
        <v>1900</v>
      </c>
      <c r="F273" s="6">
        <v>100.0</v>
      </c>
      <c r="G273" s="6">
        <f>SUM(G268:G272)</f>
        <v>1250</v>
      </c>
      <c r="H273" s="6">
        <v>0.0</v>
      </c>
      <c r="I273" s="6">
        <v>0.0</v>
      </c>
      <c r="J273" s="6">
        <f>SUM(J268:J272)</f>
        <v>1700</v>
      </c>
      <c r="L273" s="9"/>
    </row>
    <row r="274" ht="15.75" customHeight="1">
      <c r="E274" s="6">
        <v>2800.0</v>
      </c>
      <c r="F274" s="6">
        <v>900.0</v>
      </c>
      <c r="G274" s="6">
        <v>1250.0</v>
      </c>
      <c r="L274" s="9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9"/>
    </row>
    <row r="276" ht="15.75" customHeight="1">
      <c r="A276" s="5">
        <v>45734.0</v>
      </c>
      <c r="B276" s="6" t="s">
        <v>213</v>
      </c>
      <c r="C276" s="6" t="s">
        <v>442</v>
      </c>
      <c r="D276" s="6" t="s">
        <v>443</v>
      </c>
      <c r="E276" s="6">
        <v>1500.0</v>
      </c>
      <c r="F276" s="6">
        <v>1500.0</v>
      </c>
      <c r="G276" s="6">
        <v>0.0</v>
      </c>
      <c r="H276" s="6">
        <v>0.0</v>
      </c>
      <c r="I276" s="6">
        <v>0.0</v>
      </c>
      <c r="J276" s="6">
        <v>1500.0</v>
      </c>
      <c r="K276" s="6">
        <v>0.0</v>
      </c>
      <c r="L276" s="9"/>
    </row>
    <row r="277" ht="15.75" customHeight="1">
      <c r="B277" s="6" t="s">
        <v>347</v>
      </c>
      <c r="C277" s="6" t="s">
        <v>444</v>
      </c>
      <c r="D277" s="6" t="s">
        <v>445</v>
      </c>
      <c r="E277" s="6">
        <v>1025.0</v>
      </c>
      <c r="F277" s="6">
        <v>0.0</v>
      </c>
      <c r="G277" s="6">
        <v>1025.0</v>
      </c>
      <c r="H277" s="6">
        <v>0.0</v>
      </c>
      <c r="I277" s="6">
        <v>0.0</v>
      </c>
      <c r="J277" s="6">
        <v>1025.0</v>
      </c>
      <c r="K277" s="6">
        <v>0.0</v>
      </c>
      <c r="L277" s="9"/>
    </row>
    <row r="278" ht="15.75" customHeight="1">
      <c r="E278" s="6">
        <f t="shared" ref="E278:K278" si="36">SUM(E276:E277)</f>
        <v>2525</v>
      </c>
      <c r="F278" s="6">
        <f t="shared" si="36"/>
        <v>1500</v>
      </c>
      <c r="G278" s="6">
        <f t="shared" si="36"/>
        <v>1025</v>
      </c>
      <c r="H278" s="6">
        <f t="shared" si="36"/>
        <v>0</v>
      </c>
      <c r="I278" s="6">
        <f t="shared" si="36"/>
        <v>0</v>
      </c>
      <c r="J278" s="6">
        <f t="shared" si="36"/>
        <v>2525</v>
      </c>
      <c r="K278" s="6">
        <f t="shared" si="36"/>
        <v>0</v>
      </c>
      <c r="L278" s="9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9"/>
    </row>
    <row r="280" ht="15.75" customHeight="1">
      <c r="A280" s="5">
        <v>45735.0</v>
      </c>
      <c r="B280" s="6" t="s">
        <v>446</v>
      </c>
      <c r="C280" s="6" t="s">
        <v>447</v>
      </c>
      <c r="D280" s="6" t="s">
        <v>448</v>
      </c>
      <c r="E280" s="6">
        <v>450.0</v>
      </c>
      <c r="F280" s="6">
        <v>0.0</v>
      </c>
      <c r="G280" s="6">
        <v>450.0</v>
      </c>
      <c r="H280" s="6">
        <v>0.0</v>
      </c>
      <c r="I280" s="6">
        <v>0.0</v>
      </c>
      <c r="J280" s="6">
        <v>350.0</v>
      </c>
      <c r="K280" s="6">
        <v>100.0</v>
      </c>
      <c r="L280" s="9"/>
    </row>
    <row r="281" ht="15.75" customHeight="1">
      <c r="B281" s="6" t="s">
        <v>71</v>
      </c>
      <c r="C281" s="6" t="s">
        <v>449</v>
      </c>
      <c r="D281" s="6" t="s">
        <v>450</v>
      </c>
      <c r="E281" s="6">
        <v>250.0</v>
      </c>
      <c r="F281" s="6">
        <v>250.0</v>
      </c>
      <c r="G281" s="6">
        <v>0.0</v>
      </c>
      <c r="H281" s="6">
        <v>0.0</v>
      </c>
      <c r="I281" s="6">
        <v>0.0</v>
      </c>
      <c r="J281" s="6">
        <v>250.0</v>
      </c>
      <c r="K281" s="6">
        <v>0.0</v>
      </c>
      <c r="L281" s="9"/>
    </row>
    <row r="282" ht="15.75" customHeight="1">
      <c r="B282" s="6" t="s">
        <v>451</v>
      </c>
      <c r="C282" s="6" t="s">
        <v>452</v>
      </c>
      <c r="D282" s="6" t="s">
        <v>65</v>
      </c>
      <c r="E282" s="6">
        <v>750.0</v>
      </c>
      <c r="F282" s="6">
        <v>0.0</v>
      </c>
      <c r="G282" s="6">
        <v>0.0</v>
      </c>
      <c r="H282" s="6">
        <v>750.0</v>
      </c>
      <c r="I282" s="6">
        <v>0.0</v>
      </c>
      <c r="J282" s="6">
        <v>750.0</v>
      </c>
      <c r="K282" s="6">
        <v>0.0</v>
      </c>
      <c r="L282" s="9"/>
    </row>
    <row r="283" ht="15.75" customHeight="1">
      <c r="A283" s="5"/>
      <c r="B283" s="6" t="s">
        <v>311</v>
      </c>
      <c r="C283" s="6" t="s">
        <v>453</v>
      </c>
      <c r="D283" s="6" t="s">
        <v>450</v>
      </c>
      <c r="E283" s="6">
        <v>250.0</v>
      </c>
      <c r="F283" s="6">
        <v>0.0</v>
      </c>
      <c r="G283" s="6">
        <v>250.0</v>
      </c>
      <c r="H283" s="6">
        <v>0.0</v>
      </c>
      <c r="I283" s="6">
        <v>0.0</v>
      </c>
      <c r="J283" s="6">
        <v>250.0</v>
      </c>
      <c r="K283" s="6">
        <v>0.0</v>
      </c>
      <c r="L283" s="9"/>
    </row>
    <row r="284" ht="15.75" customHeight="1">
      <c r="E284" s="6">
        <f t="shared" ref="E284:H284" si="37">SUM(E280:E283)</f>
        <v>1700</v>
      </c>
      <c r="F284" s="6">
        <f t="shared" si="37"/>
        <v>250</v>
      </c>
      <c r="G284" s="6">
        <f t="shared" si="37"/>
        <v>700</v>
      </c>
      <c r="H284" s="6">
        <f t="shared" si="37"/>
        <v>750</v>
      </c>
      <c r="I284" s="6">
        <v>0.0</v>
      </c>
      <c r="J284" s="6">
        <f>SUM(J280:J283)</f>
        <v>1600</v>
      </c>
      <c r="K284" s="6">
        <v>100.0</v>
      </c>
      <c r="L284" s="9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9"/>
    </row>
    <row r="286" ht="15.75" customHeight="1">
      <c r="A286" s="5">
        <v>45740.0</v>
      </c>
      <c r="B286" s="6" t="s">
        <v>454</v>
      </c>
      <c r="C286" s="6" t="s">
        <v>455</v>
      </c>
      <c r="D286" s="6" t="s">
        <v>224</v>
      </c>
      <c r="E286" s="6">
        <v>350.0</v>
      </c>
      <c r="F286" s="6">
        <v>350.0</v>
      </c>
      <c r="G286" s="6">
        <v>0.0</v>
      </c>
      <c r="H286" s="6">
        <v>0.0</v>
      </c>
      <c r="I286" s="6">
        <v>0.0</v>
      </c>
      <c r="J286" s="6">
        <v>350.0</v>
      </c>
      <c r="K286" s="6">
        <v>0.0</v>
      </c>
      <c r="L286" s="9"/>
    </row>
    <row r="287" ht="15.75" customHeight="1">
      <c r="B287" s="6" t="s">
        <v>456</v>
      </c>
      <c r="C287" s="6" t="s">
        <v>457</v>
      </c>
      <c r="D287" s="6" t="s">
        <v>106</v>
      </c>
      <c r="E287" s="6">
        <v>500.0</v>
      </c>
      <c r="F287" s="6">
        <v>500.0</v>
      </c>
      <c r="G287" s="6">
        <v>0.0</v>
      </c>
      <c r="H287" s="6">
        <v>0.0</v>
      </c>
      <c r="I287" s="6">
        <v>0.0</v>
      </c>
      <c r="J287" s="6">
        <v>500.0</v>
      </c>
      <c r="K287" s="6">
        <v>0.0</v>
      </c>
      <c r="L287" s="9"/>
    </row>
    <row r="288" ht="15.75" customHeight="1">
      <c r="B288" s="6" t="s">
        <v>233</v>
      </c>
      <c r="C288" s="6" t="s">
        <v>458</v>
      </c>
      <c r="D288" s="6" t="s">
        <v>132</v>
      </c>
      <c r="E288" s="6">
        <v>300.0</v>
      </c>
      <c r="F288" s="6">
        <v>300.0</v>
      </c>
      <c r="G288" s="6">
        <v>0.0</v>
      </c>
      <c r="H288" s="6">
        <v>0.0</v>
      </c>
      <c r="I288" s="6">
        <v>0.0</v>
      </c>
      <c r="J288" s="6">
        <v>300.0</v>
      </c>
      <c r="K288" s="6">
        <v>0.0</v>
      </c>
      <c r="L288" s="9"/>
    </row>
    <row r="289" ht="15.75" customHeight="1">
      <c r="E289" s="6">
        <f t="shared" ref="E289:K289" si="38">SUM(E286:E288)</f>
        <v>1150</v>
      </c>
      <c r="F289" s="6">
        <f t="shared" si="38"/>
        <v>1150</v>
      </c>
      <c r="G289" s="6">
        <f t="shared" si="38"/>
        <v>0</v>
      </c>
      <c r="H289" s="6">
        <f t="shared" si="38"/>
        <v>0</v>
      </c>
      <c r="I289" s="6">
        <f t="shared" si="38"/>
        <v>0</v>
      </c>
      <c r="J289" s="6">
        <f t="shared" si="38"/>
        <v>1150</v>
      </c>
      <c r="K289" s="6">
        <f t="shared" si="38"/>
        <v>0</v>
      </c>
      <c r="L289" s="9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 t="s">
        <v>459</v>
      </c>
      <c r="L290" s="9"/>
    </row>
    <row r="291" ht="15.75" customHeight="1">
      <c r="A291" s="5">
        <v>45741.0</v>
      </c>
      <c r="B291" s="6" t="s">
        <v>460</v>
      </c>
      <c r="C291" s="6" t="s">
        <v>461</v>
      </c>
      <c r="D291" s="6" t="s">
        <v>378</v>
      </c>
      <c r="E291" s="6">
        <v>900.0</v>
      </c>
      <c r="F291" s="6">
        <v>900.0</v>
      </c>
      <c r="G291" s="6">
        <v>0.0</v>
      </c>
      <c r="H291" s="6">
        <v>0.0</v>
      </c>
      <c r="I291" s="6">
        <v>0.0</v>
      </c>
      <c r="J291" s="6">
        <v>900.0</v>
      </c>
      <c r="K291" s="6">
        <v>0.0</v>
      </c>
      <c r="L291" s="9"/>
    </row>
    <row r="292" ht="15.75" customHeight="1">
      <c r="B292" s="6" t="s">
        <v>287</v>
      </c>
      <c r="C292" s="6" t="s">
        <v>462</v>
      </c>
      <c r="D292" s="6" t="s">
        <v>463</v>
      </c>
      <c r="E292" s="6">
        <v>400.0</v>
      </c>
      <c r="F292" s="6">
        <v>0.0</v>
      </c>
      <c r="G292" s="6">
        <v>400.0</v>
      </c>
      <c r="H292" s="6">
        <v>0.0</v>
      </c>
      <c r="I292" s="6">
        <v>0.0</v>
      </c>
      <c r="J292" s="6">
        <v>400.0</v>
      </c>
      <c r="K292" s="6">
        <v>0.0</v>
      </c>
      <c r="L292" s="9"/>
    </row>
    <row r="293" ht="15.75" customHeight="1">
      <c r="B293" s="6" t="s">
        <v>464</v>
      </c>
      <c r="C293" s="6" t="s">
        <v>465</v>
      </c>
      <c r="D293" s="6" t="s">
        <v>466</v>
      </c>
      <c r="E293" s="6">
        <v>300.0</v>
      </c>
      <c r="F293" s="6">
        <v>0.0</v>
      </c>
      <c r="G293" s="6">
        <v>300.0</v>
      </c>
      <c r="H293" s="6">
        <v>0.0</v>
      </c>
      <c r="I293" s="6">
        <v>0.0</v>
      </c>
      <c r="J293" s="6">
        <v>300.0</v>
      </c>
      <c r="K293" s="6">
        <v>0.0</v>
      </c>
      <c r="L293" s="9"/>
    </row>
    <row r="294" ht="15.75" customHeight="1">
      <c r="E294" s="6">
        <f>SUM(E291:E293)</f>
        <v>1600</v>
      </c>
      <c r="F294" s="6">
        <f t="shared" ref="F294:J294" si="39">SUM(F291:F292)</f>
        <v>900</v>
      </c>
      <c r="G294" s="6">
        <f t="shared" si="39"/>
        <v>400</v>
      </c>
      <c r="H294" s="6">
        <f t="shared" si="39"/>
        <v>0</v>
      </c>
      <c r="I294" s="6">
        <f t="shared" si="39"/>
        <v>0</v>
      </c>
      <c r="J294" s="6">
        <f t="shared" si="39"/>
        <v>1300</v>
      </c>
      <c r="K294" s="6">
        <v>0.0</v>
      </c>
      <c r="L294" s="9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9"/>
    </row>
    <row r="296" ht="15.75" customHeight="1">
      <c r="A296" s="5">
        <v>45742.0</v>
      </c>
      <c r="B296" s="6" t="s">
        <v>251</v>
      </c>
      <c r="C296" s="6" t="s">
        <v>467</v>
      </c>
      <c r="D296" s="6" t="s">
        <v>468</v>
      </c>
      <c r="E296" s="6">
        <v>100.0</v>
      </c>
      <c r="F296" s="6">
        <v>0.0</v>
      </c>
      <c r="G296" s="6">
        <v>100.0</v>
      </c>
      <c r="H296" s="6">
        <v>0.0</v>
      </c>
      <c r="I296" s="6">
        <v>100.0</v>
      </c>
      <c r="J296" s="6">
        <v>0.0</v>
      </c>
      <c r="K296" s="6">
        <v>0.0</v>
      </c>
      <c r="L296" s="9"/>
    </row>
    <row r="297" ht="15.75" customHeight="1">
      <c r="B297" s="6" t="s">
        <v>469</v>
      </c>
      <c r="C297" s="6" t="s">
        <v>470</v>
      </c>
      <c r="D297" s="6" t="s">
        <v>207</v>
      </c>
      <c r="E297" s="6">
        <v>100.0</v>
      </c>
      <c r="F297" s="6">
        <v>100.0</v>
      </c>
      <c r="G297" s="6">
        <v>0.0</v>
      </c>
      <c r="H297" s="6">
        <v>0.0</v>
      </c>
      <c r="I297" s="6">
        <v>0.0</v>
      </c>
      <c r="J297" s="6">
        <v>100.0</v>
      </c>
      <c r="K297" s="6">
        <v>0.0</v>
      </c>
      <c r="L297" s="9"/>
    </row>
    <row r="298" ht="15.75" customHeight="1">
      <c r="B298" s="6" t="s">
        <v>471</v>
      </c>
      <c r="C298" s="6" t="s">
        <v>472</v>
      </c>
      <c r="D298" s="6" t="s">
        <v>152</v>
      </c>
      <c r="E298" s="6">
        <v>225.0</v>
      </c>
      <c r="F298" s="6">
        <v>275.0</v>
      </c>
      <c r="G298" s="6">
        <v>0.0</v>
      </c>
      <c r="H298" s="6">
        <v>0.0</v>
      </c>
      <c r="I298" s="6">
        <v>0.0</v>
      </c>
      <c r="J298" s="6">
        <v>225.0</v>
      </c>
      <c r="K298" s="6">
        <v>0.0</v>
      </c>
      <c r="L298" s="9"/>
    </row>
    <row r="299" ht="15.75" customHeight="1">
      <c r="B299" s="6" t="s">
        <v>473</v>
      </c>
      <c r="C299" s="6" t="s">
        <v>474</v>
      </c>
      <c r="D299" s="6" t="s">
        <v>475</v>
      </c>
      <c r="E299" s="6">
        <v>500.0</v>
      </c>
      <c r="F299" s="6">
        <v>0.0</v>
      </c>
      <c r="G299" s="6">
        <v>500.0</v>
      </c>
      <c r="H299" s="6">
        <v>0.0</v>
      </c>
      <c r="I299" s="6">
        <v>500.0</v>
      </c>
      <c r="J299" s="6">
        <v>0.0</v>
      </c>
      <c r="K299" s="6">
        <v>0.0</v>
      </c>
      <c r="L299" s="9"/>
    </row>
    <row r="300" ht="15.75" customHeight="1">
      <c r="B300" s="6" t="s">
        <v>115</v>
      </c>
      <c r="C300" s="6" t="s">
        <v>169</v>
      </c>
      <c r="D300" s="6" t="s">
        <v>476</v>
      </c>
      <c r="E300" s="6">
        <v>500.0</v>
      </c>
      <c r="F300" s="6">
        <v>500.0</v>
      </c>
      <c r="G300" s="6">
        <v>0.0</v>
      </c>
      <c r="H300" s="6">
        <v>0.0</v>
      </c>
      <c r="I300" s="6">
        <v>0.0</v>
      </c>
      <c r="J300" s="6">
        <v>500.0</v>
      </c>
      <c r="K300" s="6">
        <v>0.0</v>
      </c>
      <c r="L300" s="9"/>
    </row>
    <row r="301" ht="15.75" customHeight="1">
      <c r="B301" s="6" t="s">
        <v>28</v>
      </c>
      <c r="C301" s="6" t="s">
        <v>169</v>
      </c>
      <c r="D301" s="6" t="s">
        <v>476</v>
      </c>
      <c r="E301" s="6">
        <v>500.0</v>
      </c>
      <c r="F301" s="6">
        <v>0.0</v>
      </c>
      <c r="G301" s="6">
        <v>500.0</v>
      </c>
      <c r="H301" s="6">
        <v>0.0</v>
      </c>
      <c r="I301" s="6">
        <v>0.0</v>
      </c>
      <c r="J301" s="6">
        <v>500.0</v>
      </c>
      <c r="K301" s="6">
        <v>0.0</v>
      </c>
      <c r="L301" s="9"/>
    </row>
    <row r="302" ht="15.75" customHeight="1">
      <c r="B302" s="6" t="s">
        <v>477</v>
      </c>
      <c r="C302" s="6" t="s">
        <v>478</v>
      </c>
      <c r="D302" s="6" t="s">
        <v>479</v>
      </c>
      <c r="E302" s="6">
        <v>150.0</v>
      </c>
      <c r="F302" s="6">
        <v>0.0</v>
      </c>
      <c r="G302" s="6">
        <v>150.0</v>
      </c>
      <c r="H302" s="6">
        <v>0.0</v>
      </c>
      <c r="I302" s="6">
        <v>0.0</v>
      </c>
      <c r="J302" s="6">
        <v>150.0</v>
      </c>
      <c r="K302" s="6">
        <v>0.0</v>
      </c>
      <c r="L302" s="9"/>
    </row>
    <row r="303" ht="15.75" customHeight="1">
      <c r="E303" s="6">
        <f t="shared" ref="E303:K303" si="40">SUM(E296:E302)</f>
        <v>2075</v>
      </c>
      <c r="F303" s="6">
        <f t="shared" si="40"/>
        <v>875</v>
      </c>
      <c r="G303" s="6">
        <f t="shared" si="40"/>
        <v>1250</v>
      </c>
      <c r="H303" s="6">
        <f t="shared" si="40"/>
        <v>0</v>
      </c>
      <c r="I303" s="6">
        <f t="shared" si="40"/>
        <v>600</v>
      </c>
      <c r="J303" s="6">
        <f t="shared" si="40"/>
        <v>1475</v>
      </c>
      <c r="K303" s="6">
        <f t="shared" si="40"/>
        <v>0</v>
      </c>
      <c r="L303" s="9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9"/>
    </row>
    <row r="305" ht="15.75" customHeight="1">
      <c r="A305" s="5">
        <v>45743.0</v>
      </c>
      <c r="B305" s="6" t="s">
        <v>243</v>
      </c>
      <c r="C305" s="6" t="s">
        <v>480</v>
      </c>
      <c r="D305" s="6" t="s">
        <v>303</v>
      </c>
      <c r="E305" s="6">
        <v>20.0</v>
      </c>
      <c r="F305" s="6">
        <v>0.0</v>
      </c>
      <c r="G305" s="6">
        <v>20.0</v>
      </c>
      <c r="H305" s="6">
        <v>0.0</v>
      </c>
      <c r="I305" s="6">
        <v>20.0</v>
      </c>
      <c r="J305" s="6">
        <v>0.0</v>
      </c>
      <c r="K305" s="6">
        <v>0.0</v>
      </c>
      <c r="L305" s="9"/>
    </row>
    <row r="306" ht="15.75" customHeight="1">
      <c r="B306" s="6" t="s">
        <v>317</v>
      </c>
      <c r="C306" s="6" t="s">
        <v>481</v>
      </c>
      <c r="D306" s="6" t="s">
        <v>291</v>
      </c>
      <c r="E306" s="6">
        <v>100.0</v>
      </c>
      <c r="F306" s="6">
        <v>100.0</v>
      </c>
      <c r="G306" s="6">
        <v>0.0</v>
      </c>
      <c r="H306" s="6">
        <v>0.0</v>
      </c>
      <c r="I306" s="6">
        <v>0.0</v>
      </c>
      <c r="J306" s="6">
        <v>100.0</v>
      </c>
      <c r="K306" s="6">
        <v>0.0</v>
      </c>
      <c r="L306" s="9"/>
    </row>
    <row r="307" ht="15.75" customHeight="1">
      <c r="B307" s="6" t="s">
        <v>482</v>
      </c>
      <c r="C307" s="6" t="s">
        <v>483</v>
      </c>
      <c r="D307" s="6" t="s">
        <v>65</v>
      </c>
      <c r="E307" s="6">
        <v>50.0</v>
      </c>
      <c r="F307" s="6">
        <v>0.0</v>
      </c>
      <c r="G307" s="6">
        <v>0.0</v>
      </c>
      <c r="H307" s="6">
        <v>50.0</v>
      </c>
      <c r="I307" s="6">
        <v>0.0</v>
      </c>
      <c r="J307" s="6">
        <v>50.0</v>
      </c>
      <c r="K307" s="6">
        <v>0.0</v>
      </c>
      <c r="L307" s="9"/>
    </row>
    <row r="308" ht="15.75" customHeight="1">
      <c r="E308" s="6">
        <f t="shared" ref="E308:K308" si="41">SUM(E305:E307)</f>
        <v>170</v>
      </c>
      <c r="F308" s="6">
        <f t="shared" si="41"/>
        <v>100</v>
      </c>
      <c r="G308" s="6">
        <f t="shared" si="41"/>
        <v>20</v>
      </c>
      <c r="H308" s="6">
        <f t="shared" si="41"/>
        <v>50</v>
      </c>
      <c r="I308" s="6">
        <f t="shared" si="41"/>
        <v>20</v>
      </c>
      <c r="J308" s="6">
        <f t="shared" si="41"/>
        <v>150</v>
      </c>
      <c r="K308" s="6">
        <f t="shared" si="41"/>
        <v>0</v>
      </c>
      <c r="L308" s="9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9"/>
    </row>
    <row r="310" ht="15.75" customHeight="1">
      <c r="A310" s="5">
        <v>45744.0</v>
      </c>
      <c r="B310" s="6" t="s">
        <v>484</v>
      </c>
      <c r="C310" s="6" t="s">
        <v>485</v>
      </c>
      <c r="D310" s="6" t="s">
        <v>486</v>
      </c>
      <c r="E310" s="6">
        <v>1000.0</v>
      </c>
      <c r="F310" s="6">
        <v>0.0</v>
      </c>
      <c r="G310" s="6">
        <v>0.0</v>
      </c>
      <c r="H310" s="6">
        <v>1000.0</v>
      </c>
      <c r="I310" s="6">
        <v>0.0</v>
      </c>
      <c r="J310" s="6">
        <v>0.0</v>
      </c>
      <c r="L310" s="9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9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9"/>
    </row>
    <row r="313" ht="15.75" customHeight="1">
      <c r="A313" s="5">
        <v>45747.0</v>
      </c>
      <c r="B313" s="6" t="s">
        <v>487</v>
      </c>
      <c r="C313" s="6" t="s">
        <v>423</v>
      </c>
      <c r="D313" s="6" t="s">
        <v>65</v>
      </c>
      <c r="E313" s="6">
        <v>50.0</v>
      </c>
      <c r="F313" s="6">
        <v>0.0</v>
      </c>
      <c r="G313" s="6">
        <v>50.0</v>
      </c>
      <c r="H313" s="6">
        <v>0.0</v>
      </c>
      <c r="I313" s="6">
        <v>0.0</v>
      </c>
      <c r="J313" s="6">
        <v>50.0</v>
      </c>
      <c r="K313" s="6">
        <v>0.0</v>
      </c>
      <c r="L313" s="9"/>
    </row>
    <row r="314" ht="15.75" customHeight="1">
      <c r="B314" s="6" t="s">
        <v>488</v>
      </c>
      <c r="C314" s="6" t="s">
        <v>489</v>
      </c>
      <c r="D314" s="6" t="s">
        <v>65</v>
      </c>
      <c r="E314" s="6">
        <v>50.0</v>
      </c>
      <c r="F314" s="6">
        <v>0.0</v>
      </c>
      <c r="G314" s="6">
        <v>0.0</v>
      </c>
      <c r="H314" s="6">
        <v>50.0</v>
      </c>
      <c r="I314" s="6">
        <v>0.0</v>
      </c>
      <c r="J314" s="6">
        <v>50.0</v>
      </c>
      <c r="K314" s="6">
        <v>0.0</v>
      </c>
      <c r="L314" s="9"/>
    </row>
    <row r="315" ht="15.75" customHeight="1">
      <c r="L315" s="9"/>
    </row>
    <row r="316" ht="15.75" customHeight="1">
      <c r="A316" s="6" t="s">
        <v>490</v>
      </c>
      <c r="B316" s="6" t="s">
        <v>491</v>
      </c>
      <c r="C316" s="6" t="s">
        <v>492</v>
      </c>
      <c r="D316" s="6" t="s">
        <v>493</v>
      </c>
      <c r="E316" s="6">
        <v>450.0</v>
      </c>
      <c r="F316" s="6">
        <v>0.0</v>
      </c>
      <c r="G316" s="6">
        <v>450.0</v>
      </c>
      <c r="H316" s="6">
        <v>0.0</v>
      </c>
      <c r="I316" s="6">
        <v>0.0</v>
      </c>
      <c r="J316" s="6">
        <v>450.0</v>
      </c>
      <c r="K316" s="6">
        <v>0.0</v>
      </c>
      <c r="L316" s="9"/>
    </row>
    <row r="317" ht="15.75" customHeight="1">
      <c r="B317" s="6" t="s">
        <v>494</v>
      </c>
      <c r="C317" s="6" t="s">
        <v>495</v>
      </c>
      <c r="D317" s="6" t="s">
        <v>496</v>
      </c>
      <c r="E317" s="6">
        <v>350.0</v>
      </c>
      <c r="F317" s="6">
        <v>0.0</v>
      </c>
      <c r="G317" s="6">
        <v>350.0</v>
      </c>
      <c r="H317" s="6">
        <v>0.0</v>
      </c>
      <c r="I317" s="6">
        <v>0.0</v>
      </c>
      <c r="J317" s="6">
        <v>350.0</v>
      </c>
      <c r="K317" s="6">
        <v>0.0</v>
      </c>
      <c r="L317" s="9"/>
    </row>
    <row r="318" ht="15.75" customHeight="1">
      <c r="B318" s="6" t="s">
        <v>497</v>
      </c>
      <c r="C318" s="6" t="s">
        <v>498</v>
      </c>
      <c r="D318" s="6" t="s">
        <v>337</v>
      </c>
      <c r="E318" s="6">
        <v>280.0</v>
      </c>
      <c r="F318" s="6">
        <v>0.0</v>
      </c>
      <c r="G318" s="6">
        <v>280.0</v>
      </c>
      <c r="H318" s="6">
        <v>0.0</v>
      </c>
      <c r="I318" s="6">
        <v>0.0</v>
      </c>
      <c r="J318" s="6">
        <v>280.0</v>
      </c>
      <c r="K318" s="6">
        <v>0.0</v>
      </c>
      <c r="L318" s="9"/>
    </row>
    <row r="319" ht="15.75" customHeight="1">
      <c r="B319" s="6" t="s">
        <v>499</v>
      </c>
      <c r="C319" s="6" t="s">
        <v>500</v>
      </c>
      <c r="D319" s="6" t="s">
        <v>501</v>
      </c>
      <c r="E319" s="6">
        <v>410.0</v>
      </c>
      <c r="F319" s="6">
        <v>350.0</v>
      </c>
      <c r="G319" s="6">
        <v>0.0</v>
      </c>
      <c r="H319" s="6">
        <v>60.0</v>
      </c>
      <c r="I319" s="6">
        <v>0.0</v>
      </c>
      <c r="J319" s="6">
        <v>350.0</v>
      </c>
      <c r="K319" s="6">
        <v>60.0</v>
      </c>
      <c r="L319" s="9"/>
    </row>
    <row r="320" ht="15.75" customHeight="1">
      <c r="E320" s="6">
        <f>SUM(E316:E319)</f>
        <v>1490</v>
      </c>
      <c r="G320" s="6">
        <f>SUM(G316:G319)</f>
        <v>1080</v>
      </c>
      <c r="H320" s="6">
        <v>60.0</v>
      </c>
      <c r="J320" s="6">
        <f>SUM(J316:J319)</f>
        <v>1430</v>
      </c>
      <c r="L320" s="9"/>
    </row>
    <row r="321" ht="15.75" customHeight="1">
      <c r="C321" s="6" t="s">
        <v>502</v>
      </c>
      <c r="E321" s="6">
        <v>1590.0</v>
      </c>
      <c r="F321" s="6">
        <v>350.0</v>
      </c>
      <c r="G321" s="6">
        <v>1130.0</v>
      </c>
      <c r="H321" s="6">
        <v>110.0</v>
      </c>
      <c r="J321" s="6">
        <v>1530.0</v>
      </c>
      <c r="L321" s="9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9"/>
    </row>
    <row r="323" ht="15.75" customHeight="1">
      <c r="L323" s="9"/>
    </row>
    <row r="324" ht="15.75" customHeight="1">
      <c r="L324" s="9"/>
    </row>
    <row r="325" ht="15.75" customHeight="1">
      <c r="L325" s="9"/>
    </row>
    <row r="326" ht="15.75" customHeight="1">
      <c r="L326" s="9"/>
    </row>
    <row r="327" ht="15.75" customHeight="1">
      <c r="L327" s="9"/>
    </row>
    <row r="328" ht="15.75" customHeight="1">
      <c r="L328" s="9"/>
    </row>
    <row r="329" ht="15.75" customHeight="1">
      <c r="L329" s="9"/>
    </row>
    <row r="330" ht="15.75" customHeight="1">
      <c r="L330" s="9"/>
    </row>
    <row r="331" ht="15.75" customHeight="1">
      <c r="L331" s="9"/>
    </row>
    <row r="332" ht="15.75" customHeight="1">
      <c r="L332" s="9"/>
    </row>
    <row r="333" ht="15.75" customHeight="1">
      <c r="L333" s="9"/>
    </row>
    <row r="334" ht="15.75" customHeight="1">
      <c r="L334" s="9"/>
    </row>
    <row r="335" ht="15.75" customHeight="1">
      <c r="L335" s="9"/>
    </row>
    <row r="336" ht="15.75" customHeight="1">
      <c r="L336" s="9"/>
    </row>
    <row r="337" ht="15.75" customHeight="1">
      <c r="L337" s="9"/>
    </row>
    <row r="338" ht="15.75" customHeight="1">
      <c r="L338" s="9"/>
    </row>
    <row r="339" ht="15.75" customHeight="1">
      <c r="L339" s="9"/>
    </row>
    <row r="340" ht="15.75" customHeight="1">
      <c r="L340" s="9"/>
    </row>
    <row r="341" ht="15.75" customHeight="1">
      <c r="L341" s="9"/>
    </row>
    <row r="342" ht="15.75" customHeight="1">
      <c r="L342" s="9"/>
    </row>
    <row r="343" ht="15.75" customHeight="1">
      <c r="L343" s="9"/>
    </row>
    <row r="344" ht="15.75" customHeight="1">
      <c r="L344" s="9"/>
    </row>
    <row r="345" ht="15.75" customHeight="1">
      <c r="L345" s="9"/>
    </row>
    <row r="346" ht="15.75" customHeight="1">
      <c r="L346" s="9"/>
    </row>
    <row r="347" ht="15.75" customHeight="1">
      <c r="L347" s="9"/>
    </row>
    <row r="348" ht="15.75" customHeight="1">
      <c r="L348" s="9"/>
    </row>
    <row r="349" ht="15.75" customHeight="1">
      <c r="L349" s="9"/>
    </row>
    <row r="350" ht="15.75" customHeight="1">
      <c r="L350" s="9"/>
    </row>
    <row r="351" ht="15.75" customHeight="1">
      <c r="L351" s="9"/>
    </row>
    <row r="352" ht="15.75" customHeight="1">
      <c r="L352" s="9"/>
    </row>
    <row r="353" ht="15.75" customHeight="1">
      <c r="L353" s="9"/>
    </row>
    <row r="354" ht="15.75" customHeight="1">
      <c r="L354" s="9"/>
    </row>
    <row r="355" ht="15.75" customHeight="1">
      <c r="L355" s="9"/>
    </row>
    <row r="356" ht="15.75" customHeight="1">
      <c r="L356" s="9"/>
    </row>
    <row r="357" ht="15.75" customHeight="1">
      <c r="L357" s="9"/>
    </row>
    <row r="358" ht="15.75" customHeight="1">
      <c r="L358" s="9"/>
    </row>
    <row r="359" ht="15.75" customHeight="1">
      <c r="L359" s="9"/>
    </row>
    <row r="360" ht="15.75" customHeight="1">
      <c r="L360" s="9"/>
    </row>
    <row r="361" ht="15.75" customHeight="1">
      <c r="L361" s="9"/>
    </row>
    <row r="362" ht="15.75" customHeight="1">
      <c r="L362" s="9"/>
    </row>
    <row r="363" ht="15.75" customHeight="1">
      <c r="L363" s="9"/>
    </row>
    <row r="364" ht="15.75" customHeight="1">
      <c r="L364" s="9"/>
    </row>
    <row r="365" ht="15.75" customHeight="1">
      <c r="L365" s="9"/>
    </row>
    <row r="366" ht="15.75" customHeight="1">
      <c r="L366" s="9"/>
    </row>
    <row r="367" ht="15.75" customHeight="1">
      <c r="L367" s="9"/>
    </row>
    <row r="368" ht="15.75" customHeight="1">
      <c r="L368" s="9"/>
    </row>
    <row r="369" ht="15.75" customHeight="1">
      <c r="L369" s="9"/>
    </row>
    <row r="370" ht="15.75" customHeight="1">
      <c r="L370" s="9"/>
    </row>
    <row r="371" ht="15.75" customHeight="1">
      <c r="L371" s="9"/>
    </row>
    <row r="372" ht="15.75" customHeight="1">
      <c r="L372" s="9"/>
    </row>
    <row r="373" ht="15.75" customHeight="1">
      <c r="L373" s="9"/>
    </row>
    <row r="374" ht="15.75" customHeight="1">
      <c r="L374" s="9"/>
    </row>
    <row r="375" ht="15.75" customHeight="1">
      <c r="L375" s="9"/>
    </row>
    <row r="376" ht="15.75" customHeight="1">
      <c r="L376" s="9"/>
    </row>
    <row r="377" ht="15.75" customHeight="1">
      <c r="L377" s="9"/>
    </row>
    <row r="378" ht="15.75" customHeight="1">
      <c r="L378" s="9"/>
    </row>
    <row r="379" ht="15.75" customHeight="1">
      <c r="L379" s="9"/>
    </row>
    <row r="380" ht="15.75" customHeight="1">
      <c r="L380" s="9"/>
    </row>
    <row r="381" ht="15.75" customHeight="1">
      <c r="L381" s="9"/>
    </row>
    <row r="382" ht="15.75" customHeight="1">
      <c r="L382" s="9"/>
    </row>
    <row r="383" ht="15.75" customHeight="1">
      <c r="L383" s="9"/>
    </row>
    <row r="384" ht="15.75" customHeight="1">
      <c r="L384" s="9"/>
    </row>
    <row r="385" ht="15.75" customHeight="1">
      <c r="L385" s="9"/>
    </row>
    <row r="386" ht="15.75" customHeight="1">
      <c r="L386" s="9"/>
    </row>
    <row r="387" ht="15.75" customHeight="1">
      <c r="L387" s="9"/>
    </row>
    <row r="388" ht="15.75" customHeight="1">
      <c r="L388" s="9"/>
    </row>
    <row r="389" ht="15.75" customHeight="1">
      <c r="L389" s="9"/>
    </row>
    <row r="390" ht="15.75" customHeight="1">
      <c r="L390" s="9"/>
    </row>
    <row r="391" ht="15.75" customHeight="1">
      <c r="L391" s="9"/>
    </row>
    <row r="392" ht="15.75" customHeight="1">
      <c r="L392" s="9"/>
    </row>
    <row r="393" ht="15.75" customHeight="1">
      <c r="L393" s="9"/>
    </row>
    <row r="394" ht="15.75" customHeight="1">
      <c r="L394" s="9"/>
    </row>
    <row r="395" ht="15.75" customHeight="1">
      <c r="L395" s="9"/>
    </row>
    <row r="396" ht="15.75" customHeight="1">
      <c r="L396" s="9"/>
    </row>
    <row r="397" ht="15.75" customHeight="1">
      <c r="L397" s="9"/>
    </row>
    <row r="398" ht="15.75" customHeight="1">
      <c r="L398" s="9"/>
    </row>
    <row r="399" ht="15.75" customHeight="1">
      <c r="L399" s="9"/>
    </row>
    <row r="400" ht="15.75" customHeight="1">
      <c r="L400" s="9"/>
    </row>
    <row r="401" ht="15.75" customHeight="1">
      <c r="L401" s="9"/>
    </row>
    <row r="402" ht="15.75" customHeight="1">
      <c r="L402" s="9"/>
    </row>
    <row r="403" ht="15.75" customHeight="1">
      <c r="L403" s="9"/>
    </row>
    <row r="404" ht="15.75" customHeight="1">
      <c r="L404" s="9"/>
    </row>
    <row r="405" ht="15.75" customHeight="1">
      <c r="L405" s="9"/>
    </row>
    <row r="406" ht="15.75" customHeight="1">
      <c r="L406" s="9"/>
    </row>
    <row r="407" ht="15.75" customHeight="1">
      <c r="L407" s="9"/>
    </row>
    <row r="408" ht="15.75" customHeight="1">
      <c r="L408" s="9"/>
    </row>
    <row r="409" ht="15.75" customHeight="1">
      <c r="L409" s="9"/>
    </row>
    <row r="410" ht="15.75" customHeight="1">
      <c r="L410" s="9"/>
    </row>
    <row r="411" ht="15.75" customHeight="1">
      <c r="L411" s="9"/>
    </row>
    <row r="412" ht="15.75" customHeight="1">
      <c r="L412" s="9"/>
    </row>
    <row r="413" ht="15.75" customHeight="1">
      <c r="L413" s="9"/>
    </row>
    <row r="414" ht="15.75" customHeight="1">
      <c r="L414" s="9"/>
    </row>
    <row r="415" ht="15.75" customHeight="1">
      <c r="L415" s="9"/>
    </row>
    <row r="416" ht="15.75" customHeight="1">
      <c r="L416" s="9"/>
    </row>
    <row r="417" ht="15.75" customHeight="1">
      <c r="L417" s="9"/>
    </row>
    <row r="418" ht="15.75" customHeight="1">
      <c r="L418" s="9"/>
    </row>
    <row r="419" ht="15.75" customHeight="1">
      <c r="L419" s="9"/>
    </row>
    <row r="420" ht="15.75" customHeight="1">
      <c r="L420" s="9"/>
    </row>
    <row r="421" ht="15.75" customHeight="1">
      <c r="L421" s="9"/>
    </row>
    <row r="422" ht="15.75" customHeight="1">
      <c r="L422" s="9"/>
    </row>
    <row r="423" ht="15.75" customHeight="1">
      <c r="L423" s="9"/>
    </row>
    <row r="424" ht="15.75" customHeight="1">
      <c r="L424" s="9"/>
    </row>
    <row r="425" ht="15.75" customHeight="1">
      <c r="L425" s="9"/>
    </row>
    <row r="426" ht="15.75" customHeight="1">
      <c r="L426" s="9"/>
    </row>
    <row r="427" ht="15.75" customHeight="1">
      <c r="L427" s="9"/>
    </row>
    <row r="428" ht="15.75" customHeight="1">
      <c r="L428" s="9"/>
    </row>
    <row r="429" ht="15.75" customHeight="1">
      <c r="L429" s="9"/>
    </row>
    <row r="430" ht="15.75" customHeight="1">
      <c r="L430" s="9"/>
    </row>
    <row r="431" ht="15.75" customHeight="1">
      <c r="L431" s="9"/>
    </row>
    <row r="432" ht="15.75" customHeight="1">
      <c r="L432" s="9"/>
    </row>
    <row r="433" ht="15.75" customHeight="1">
      <c r="L433" s="9"/>
    </row>
    <row r="434" ht="15.75" customHeight="1">
      <c r="L434" s="9"/>
    </row>
    <row r="435" ht="15.75" customHeight="1">
      <c r="L435" s="9"/>
    </row>
    <row r="436" ht="15.75" customHeight="1">
      <c r="L436" s="9"/>
    </row>
    <row r="437" ht="15.75" customHeight="1">
      <c r="L437" s="9"/>
    </row>
    <row r="438" ht="15.75" customHeight="1">
      <c r="L438" s="9"/>
    </row>
    <row r="439" ht="15.75" customHeight="1">
      <c r="L439" s="9"/>
    </row>
    <row r="440" ht="15.75" customHeight="1">
      <c r="L440" s="9"/>
    </row>
    <row r="441" ht="15.75" customHeight="1">
      <c r="L441" s="9"/>
    </row>
    <row r="442" ht="15.75" customHeight="1">
      <c r="L442" s="9"/>
    </row>
    <row r="443" ht="15.75" customHeight="1">
      <c r="L443" s="9"/>
    </row>
    <row r="444" ht="15.75" customHeight="1">
      <c r="L444" s="9"/>
    </row>
    <row r="445" ht="15.75" customHeight="1">
      <c r="L445" s="9"/>
    </row>
    <row r="446" ht="15.75" customHeight="1">
      <c r="L446" s="9"/>
    </row>
    <row r="447" ht="15.75" customHeight="1">
      <c r="L447" s="9"/>
    </row>
    <row r="448" ht="15.75" customHeight="1">
      <c r="L448" s="9"/>
    </row>
    <row r="449" ht="15.75" customHeight="1">
      <c r="L449" s="9"/>
    </row>
    <row r="450" ht="15.75" customHeight="1">
      <c r="L450" s="9"/>
    </row>
    <row r="451" ht="15.75" customHeight="1">
      <c r="L451" s="9"/>
    </row>
    <row r="452" ht="15.75" customHeight="1">
      <c r="L452" s="9"/>
    </row>
    <row r="453" ht="15.75" customHeight="1">
      <c r="L453" s="9"/>
    </row>
    <row r="454" ht="15.75" customHeight="1">
      <c r="L454" s="9"/>
    </row>
    <row r="455" ht="15.75" customHeight="1">
      <c r="L455" s="9"/>
    </row>
    <row r="456" ht="15.75" customHeight="1">
      <c r="L456" s="9"/>
    </row>
    <row r="457" ht="15.75" customHeight="1">
      <c r="L457" s="9"/>
    </row>
    <row r="458" ht="15.75" customHeight="1">
      <c r="L458" s="9"/>
    </row>
    <row r="459" ht="15.75" customHeight="1">
      <c r="L459" s="9"/>
    </row>
    <row r="460" ht="15.75" customHeight="1">
      <c r="L460" s="9"/>
    </row>
    <row r="461" ht="15.75" customHeight="1">
      <c r="L461" s="9"/>
    </row>
    <row r="462" ht="15.75" customHeight="1">
      <c r="L462" s="9"/>
    </row>
    <row r="463" ht="15.75" customHeight="1">
      <c r="L463" s="9"/>
    </row>
    <row r="464" ht="15.75" customHeight="1">
      <c r="L464" s="9"/>
    </row>
    <row r="465" ht="15.75" customHeight="1">
      <c r="L465" s="9"/>
    </row>
    <row r="466" ht="15.75" customHeight="1">
      <c r="L466" s="9"/>
    </row>
    <row r="467" ht="15.75" customHeight="1">
      <c r="L467" s="9"/>
    </row>
    <row r="468" ht="15.75" customHeight="1">
      <c r="L468" s="9"/>
    </row>
    <row r="469" ht="15.75" customHeight="1">
      <c r="L469" s="9"/>
    </row>
    <row r="470" ht="15.75" customHeight="1">
      <c r="L470" s="9"/>
    </row>
    <row r="471" ht="15.75" customHeight="1">
      <c r="L471" s="9"/>
    </row>
    <row r="472" ht="15.75" customHeight="1">
      <c r="L472" s="9"/>
    </row>
    <row r="473" ht="15.75" customHeight="1">
      <c r="L473" s="9"/>
    </row>
    <row r="474" ht="15.75" customHeight="1">
      <c r="L474" s="9"/>
    </row>
    <row r="475" ht="15.75" customHeight="1">
      <c r="L475" s="9"/>
    </row>
    <row r="476" ht="15.75" customHeight="1">
      <c r="L476" s="9"/>
    </row>
    <row r="477" ht="15.75" customHeight="1">
      <c r="L477" s="9"/>
    </row>
    <row r="478" ht="15.75" customHeight="1">
      <c r="L478" s="9"/>
    </row>
    <row r="479" ht="15.75" customHeight="1">
      <c r="L479" s="9"/>
    </row>
    <row r="480" ht="15.75" customHeight="1">
      <c r="L480" s="9"/>
    </row>
    <row r="481" ht="15.75" customHeight="1">
      <c r="L481" s="9"/>
    </row>
    <row r="482" ht="15.75" customHeight="1">
      <c r="L482" s="9"/>
    </row>
    <row r="483" ht="15.75" customHeight="1">
      <c r="L483" s="9"/>
    </row>
    <row r="484" ht="15.75" customHeight="1">
      <c r="L484" s="9"/>
    </row>
    <row r="485" ht="15.75" customHeight="1">
      <c r="L485" s="9"/>
    </row>
    <row r="486" ht="15.75" customHeight="1">
      <c r="L486" s="9"/>
    </row>
    <row r="487" ht="15.75" customHeight="1">
      <c r="L487" s="9"/>
    </row>
    <row r="488" ht="15.75" customHeight="1">
      <c r="L488" s="9"/>
    </row>
    <row r="489" ht="15.75" customHeight="1">
      <c r="L489" s="9"/>
    </row>
    <row r="490" ht="15.75" customHeight="1">
      <c r="L490" s="9"/>
    </row>
    <row r="491" ht="15.75" customHeight="1">
      <c r="L491" s="9"/>
    </row>
    <row r="492" ht="15.75" customHeight="1">
      <c r="L492" s="9"/>
    </row>
    <row r="493" ht="15.75" customHeight="1">
      <c r="L493" s="9"/>
    </row>
    <row r="494" ht="15.75" customHeight="1">
      <c r="L494" s="9"/>
    </row>
    <row r="495" ht="15.75" customHeight="1">
      <c r="L495" s="9"/>
    </row>
    <row r="496" ht="15.75" customHeight="1">
      <c r="L496" s="9"/>
    </row>
    <row r="497" ht="15.75" customHeight="1">
      <c r="L497" s="9"/>
    </row>
    <row r="498" ht="15.75" customHeight="1">
      <c r="L498" s="9"/>
    </row>
    <row r="499" ht="15.75" customHeight="1">
      <c r="L499" s="9"/>
    </row>
    <row r="500" ht="15.75" customHeight="1">
      <c r="L500" s="9"/>
    </row>
    <row r="501" ht="15.75" customHeight="1">
      <c r="L501" s="9"/>
    </row>
    <row r="502" ht="15.75" customHeight="1">
      <c r="L502" s="9"/>
    </row>
    <row r="503" ht="15.75" customHeight="1">
      <c r="L503" s="9"/>
    </row>
    <row r="504" ht="15.75" customHeight="1">
      <c r="L504" s="9"/>
    </row>
    <row r="505" ht="15.75" customHeight="1">
      <c r="L505" s="9"/>
    </row>
    <row r="506" ht="15.75" customHeight="1">
      <c r="L506" s="9"/>
    </row>
    <row r="507" ht="15.75" customHeight="1">
      <c r="L507" s="9"/>
    </row>
    <row r="508" ht="15.75" customHeight="1">
      <c r="L508" s="9"/>
    </row>
    <row r="509" ht="15.75" customHeight="1">
      <c r="L509" s="9"/>
    </row>
    <row r="510" ht="15.75" customHeight="1">
      <c r="L510" s="9"/>
    </row>
    <row r="511" ht="15.75" customHeight="1">
      <c r="L511" s="9"/>
    </row>
    <row r="512" ht="15.75" customHeight="1">
      <c r="L512" s="9"/>
    </row>
    <row r="513" ht="15.75" customHeight="1">
      <c r="L513" s="9"/>
    </row>
    <row r="514" ht="15.75" customHeight="1">
      <c r="L514" s="9"/>
    </row>
    <row r="515" ht="15.75" customHeight="1">
      <c r="L515" s="9"/>
    </row>
    <row r="516" ht="15.75" customHeight="1">
      <c r="L516" s="9"/>
    </row>
    <row r="517" ht="15.75" customHeight="1">
      <c r="L517" s="9"/>
    </row>
    <row r="518" ht="15.75" customHeight="1">
      <c r="L518" s="9"/>
    </row>
    <row r="519" ht="15.75" customHeight="1">
      <c r="L519" s="9"/>
    </row>
    <row r="520" ht="15.75" customHeight="1">
      <c r="L520" s="9"/>
    </row>
    <row r="521" ht="15.75" customHeight="1">
      <c r="L521" s="9"/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3" width="32.0"/>
    <col customWidth="1" min="4" max="6" width="12.63"/>
  </cols>
  <sheetData>
    <row r="1" ht="15.75" customHeight="1">
      <c r="A1" s="1"/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</row>
    <row r="2" ht="15.75" customHeight="1">
      <c r="A2" s="5">
        <v>45748.0</v>
      </c>
      <c r="B2" s="6" t="s">
        <v>503</v>
      </c>
      <c r="C2" s="6" t="s">
        <v>504</v>
      </c>
      <c r="D2" s="6" t="s">
        <v>505</v>
      </c>
      <c r="E2" s="6">
        <v>545.0</v>
      </c>
      <c r="F2" s="6">
        <v>545.0</v>
      </c>
      <c r="G2" s="6">
        <v>0.0</v>
      </c>
      <c r="H2" s="6">
        <v>0.0</v>
      </c>
      <c r="I2" s="6">
        <v>0.0</v>
      </c>
      <c r="J2" s="6">
        <v>500.0</v>
      </c>
      <c r="K2" s="6">
        <v>45.0</v>
      </c>
    </row>
    <row r="3" ht="15.75" customHeight="1">
      <c r="B3" s="6" t="s">
        <v>506</v>
      </c>
      <c r="C3" s="6" t="s">
        <v>507</v>
      </c>
      <c r="D3" s="6" t="s">
        <v>65</v>
      </c>
      <c r="E3" s="6">
        <v>50.0</v>
      </c>
      <c r="F3" s="6">
        <v>50.0</v>
      </c>
      <c r="G3" s="6">
        <v>0.0</v>
      </c>
      <c r="H3" s="6">
        <v>0.0</v>
      </c>
      <c r="I3" s="6">
        <v>0.0</v>
      </c>
      <c r="J3" s="6">
        <v>50.0</v>
      </c>
      <c r="K3" s="6">
        <v>0.0</v>
      </c>
    </row>
    <row r="4" ht="15.75" customHeight="1">
      <c r="B4" s="6" t="s">
        <v>508</v>
      </c>
      <c r="C4" s="6" t="s">
        <v>509</v>
      </c>
      <c r="D4" s="6" t="s">
        <v>510</v>
      </c>
      <c r="E4" s="6">
        <v>250.0</v>
      </c>
      <c r="F4" s="6">
        <v>0.0</v>
      </c>
      <c r="G4" s="6">
        <v>250.0</v>
      </c>
      <c r="H4" s="6">
        <v>0.0</v>
      </c>
      <c r="I4" s="6">
        <v>0.0</v>
      </c>
      <c r="J4" s="6">
        <v>250.0</v>
      </c>
      <c r="K4" s="6">
        <v>0.0</v>
      </c>
    </row>
    <row r="5" ht="15.75" customHeight="1">
      <c r="B5" s="6" t="s">
        <v>511</v>
      </c>
      <c r="C5" s="6" t="s">
        <v>512</v>
      </c>
      <c r="D5" s="6" t="s">
        <v>141</v>
      </c>
      <c r="E5" s="6">
        <v>175.0</v>
      </c>
      <c r="F5" s="6">
        <v>0.0</v>
      </c>
      <c r="G5" s="6">
        <v>175.0</v>
      </c>
      <c r="H5" s="6">
        <v>5.0</v>
      </c>
      <c r="I5" s="6">
        <v>5.0</v>
      </c>
      <c r="J5" s="6">
        <v>175.0</v>
      </c>
      <c r="K5" s="6">
        <v>5.0</v>
      </c>
    </row>
    <row r="6" ht="15.75" customHeight="1">
      <c r="B6" s="6" t="s">
        <v>513</v>
      </c>
      <c r="C6" s="6" t="s">
        <v>514</v>
      </c>
      <c r="D6" s="6" t="s">
        <v>448</v>
      </c>
      <c r="E6" s="6">
        <v>200.0</v>
      </c>
      <c r="F6" s="6">
        <v>200.0</v>
      </c>
      <c r="G6" s="6">
        <v>0.0</v>
      </c>
      <c r="H6" s="6">
        <v>0.0</v>
      </c>
      <c r="I6" s="6">
        <v>0.0</v>
      </c>
      <c r="J6" s="6">
        <v>200.0</v>
      </c>
      <c r="K6" s="6">
        <v>0.0</v>
      </c>
    </row>
    <row r="7" ht="15.75" customHeight="1">
      <c r="B7" s="6" t="s">
        <v>515</v>
      </c>
      <c r="C7" s="6" t="s">
        <v>516</v>
      </c>
      <c r="D7" s="6" t="s">
        <v>448</v>
      </c>
      <c r="E7" s="6">
        <v>250.0</v>
      </c>
      <c r="F7" s="6">
        <v>250.0</v>
      </c>
      <c r="G7" s="6">
        <v>0.0</v>
      </c>
      <c r="H7" s="6">
        <v>0.0</v>
      </c>
      <c r="I7" s="6">
        <v>0.0</v>
      </c>
      <c r="J7" s="6">
        <v>250.0</v>
      </c>
      <c r="K7" s="6">
        <v>0.0</v>
      </c>
    </row>
    <row r="8" ht="15.75" customHeight="1">
      <c r="B8" s="6" t="s">
        <v>517</v>
      </c>
      <c r="C8" s="6" t="s">
        <v>518</v>
      </c>
      <c r="D8" s="6" t="s">
        <v>248</v>
      </c>
      <c r="E8" s="6">
        <v>200.0</v>
      </c>
      <c r="F8" s="6">
        <v>0.0</v>
      </c>
      <c r="G8" s="6">
        <v>200.0</v>
      </c>
      <c r="H8" s="6">
        <v>0.0</v>
      </c>
      <c r="I8" s="6">
        <v>0.0</v>
      </c>
      <c r="J8" s="6">
        <v>200.0</v>
      </c>
      <c r="K8" s="6">
        <v>0.0</v>
      </c>
    </row>
    <row r="9" ht="15.75" customHeight="1">
      <c r="B9" s="6" t="s">
        <v>519</v>
      </c>
      <c r="C9" s="6" t="s">
        <v>520</v>
      </c>
      <c r="D9" s="6" t="s">
        <v>291</v>
      </c>
      <c r="E9" s="6">
        <v>600.0</v>
      </c>
      <c r="F9" s="6">
        <v>600.0</v>
      </c>
      <c r="G9" s="6">
        <v>0.0</v>
      </c>
      <c r="H9" s="6">
        <v>0.0</v>
      </c>
      <c r="I9" s="6">
        <v>0.0</v>
      </c>
      <c r="J9" s="6">
        <v>600.0</v>
      </c>
      <c r="K9" s="6">
        <v>0.0</v>
      </c>
    </row>
    <row r="10" ht="15.75" customHeight="1">
      <c r="B10" s="6" t="s">
        <v>521</v>
      </c>
      <c r="C10" s="6" t="s">
        <v>522</v>
      </c>
      <c r="D10" s="6" t="s">
        <v>291</v>
      </c>
      <c r="E10" s="6">
        <v>200.0</v>
      </c>
      <c r="F10" s="6">
        <v>0.0</v>
      </c>
      <c r="G10" s="6">
        <v>200.0</v>
      </c>
      <c r="H10" s="6">
        <v>0.0</v>
      </c>
      <c r="I10" s="6">
        <v>0.0</v>
      </c>
      <c r="J10" s="6">
        <v>200.0</v>
      </c>
      <c r="K10" s="6">
        <v>0.0</v>
      </c>
    </row>
    <row r="11" ht="15.75" customHeight="1">
      <c r="E11" s="6">
        <f t="shared" ref="E11:G11" si="1">SUM(E2:E10)</f>
        <v>2470</v>
      </c>
      <c r="F11" s="6">
        <f t="shared" si="1"/>
        <v>1645</v>
      </c>
      <c r="G11" s="6">
        <f t="shared" si="1"/>
        <v>825</v>
      </c>
      <c r="J11" s="6">
        <f>SUM(J2:J10)</f>
        <v>2425</v>
      </c>
      <c r="L11" s="6" t="s">
        <v>523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15.75" customHeight="1">
      <c r="A13" s="5">
        <v>45749.0</v>
      </c>
      <c r="B13" s="6" t="s">
        <v>524</v>
      </c>
      <c r="C13" s="6" t="s">
        <v>525</v>
      </c>
      <c r="D13" s="6" t="s">
        <v>65</v>
      </c>
      <c r="E13" s="6">
        <v>50.0</v>
      </c>
      <c r="F13" s="6">
        <v>0.0</v>
      </c>
      <c r="G13" s="6">
        <v>0.0</v>
      </c>
      <c r="H13" s="6">
        <v>50.0</v>
      </c>
      <c r="I13" s="6">
        <v>0.0</v>
      </c>
      <c r="J13" s="6">
        <v>50.0</v>
      </c>
      <c r="K13" s="6">
        <v>0.0</v>
      </c>
      <c r="L13" s="6">
        <v>0.0</v>
      </c>
    </row>
    <row r="14" ht="15.75" customHeight="1">
      <c r="B14" s="6" t="s">
        <v>526</v>
      </c>
      <c r="C14" s="6" t="s">
        <v>527</v>
      </c>
      <c r="D14" s="6" t="s">
        <v>51</v>
      </c>
      <c r="E14" s="6">
        <v>300.0</v>
      </c>
      <c r="F14" s="6">
        <v>300.0</v>
      </c>
      <c r="G14" s="6">
        <v>350.0</v>
      </c>
      <c r="H14" s="6">
        <v>0.0</v>
      </c>
      <c r="I14" s="6">
        <v>0.0</v>
      </c>
      <c r="J14" s="6">
        <v>300.0</v>
      </c>
      <c r="K14" s="6">
        <v>0.0</v>
      </c>
    </row>
    <row r="15" ht="15.75" customHeight="1">
      <c r="B15" s="6" t="s">
        <v>253</v>
      </c>
      <c r="C15" s="6" t="s">
        <v>528</v>
      </c>
      <c r="D15" s="6" t="s">
        <v>152</v>
      </c>
      <c r="E15" s="6">
        <v>200.0</v>
      </c>
      <c r="F15" s="6">
        <v>0.0</v>
      </c>
      <c r="G15" s="6">
        <v>200.0</v>
      </c>
      <c r="H15" s="6">
        <v>0.0</v>
      </c>
      <c r="I15" s="6">
        <v>0.0</v>
      </c>
      <c r="J15" s="6">
        <v>200.0</v>
      </c>
      <c r="K15" s="6">
        <v>0.0</v>
      </c>
    </row>
    <row r="16" ht="15.75" customHeight="1">
      <c r="B16" s="6" t="s">
        <v>529</v>
      </c>
      <c r="C16" s="6" t="s">
        <v>530</v>
      </c>
      <c r="D16" s="6" t="s">
        <v>531</v>
      </c>
      <c r="E16" s="6">
        <v>1250.0</v>
      </c>
      <c r="F16" s="6">
        <v>1250.0</v>
      </c>
      <c r="G16" s="6">
        <v>0.0</v>
      </c>
      <c r="H16" s="6">
        <v>0.0</v>
      </c>
      <c r="I16" s="6">
        <v>0.0</v>
      </c>
      <c r="J16" s="6">
        <v>1250.0</v>
      </c>
      <c r="K16" s="6">
        <v>0.0</v>
      </c>
    </row>
    <row r="17" ht="15.75" customHeight="1">
      <c r="B17" s="6" t="s">
        <v>532</v>
      </c>
      <c r="C17" s="6" t="s">
        <v>533</v>
      </c>
      <c r="D17" s="6" t="s">
        <v>370</v>
      </c>
      <c r="E17" s="6">
        <v>150.0</v>
      </c>
      <c r="F17" s="6">
        <v>0.0</v>
      </c>
      <c r="G17" s="6">
        <v>150.0</v>
      </c>
      <c r="H17" s="6">
        <v>0.0</v>
      </c>
      <c r="I17" s="6">
        <v>0.0</v>
      </c>
      <c r="J17" s="6">
        <v>150.0</v>
      </c>
      <c r="K17" s="6">
        <v>0.0</v>
      </c>
    </row>
    <row r="18" ht="15.75" customHeight="1">
      <c r="E18" s="6">
        <f t="shared" ref="E18:K18" si="2">SUM(E13:E17)</f>
        <v>1950</v>
      </c>
      <c r="F18" s="6">
        <f t="shared" si="2"/>
        <v>1550</v>
      </c>
      <c r="G18" s="6">
        <f t="shared" si="2"/>
        <v>700</v>
      </c>
      <c r="H18" s="6">
        <f t="shared" si="2"/>
        <v>50</v>
      </c>
      <c r="I18" s="6">
        <f t="shared" si="2"/>
        <v>0</v>
      </c>
      <c r="J18" s="6">
        <f t="shared" si="2"/>
        <v>1950</v>
      </c>
      <c r="K18" s="6">
        <f t="shared" si="2"/>
        <v>0</v>
      </c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 t="s">
        <v>534</v>
      </c>
    </row>
    <row r="20" ht="15.75" customHeight="1">
      <c r="A20" s="5">
        <v>45750.0</v>
      </c>
      <c r="B20" s="6" t="s">
        <v>535</v>
      </c>
      <c r="C20" s="6" t="s">
        <v>423</v>
      </c>
      <c r="D20" s="6" t="s">
        <v>65</v>
      </c>
      <c r="E20" s="6">
        <v>50.0</v>
      </c>
      <c r="F20" s="6">
        <v>0.0</v>
      </c>
      <c r="G20" s="6">
        <v>0.0</v>
      </c>
      <c r="H20" s="6">
        <v>50.0</v>
      </c>
      <c r="I20" s="6">
        <v>0.0</v>
      </c>
      <c r="J20" s="6">
        <v>50.0</v>
      </c>
      <c r="K20" s="6">
        <v>0.0</v>
      </c>
    </row>
    <row r="21" ht="15.75" customHeight="1">
      <c r="B21" s="6" t="s">
        <v>536</v>
      </c>
      <c r="C21" s="6" t="s">
        <v>423</v>
      </c>
      <c r="D21" s="6" t="s">
        <v>65</v>
      </c>
      <c r="E21" s="6">
        <v>50.0</v>
      </c>
      <c r="F21" s="6">
        <v>0.0</v>
      </c>
      <c r="G21" s="6">
        <v>0.0</v>
      </c>
      <c r="H21" s="6">
        <v>50.0</v>
      </c>
      <c r="I21" s="6">
        <v>0.0</v>
      </c>
      <c r="J21" s="6">
        <v>50.0</v>
      </c>
      <c r="K21" s="6">
        <v>0.0</v>
      </c>
    </row>
    <row r="22" ht="15.75" customHeight="1">
      <c r="B22" s="6" t="s">
        <v>537</v>
      </c>
      <c r="C22" s="6" t="s">
        <v>538</v>
      </c>
      <c r="D22" s="6" t="s">
        <v>539</v>
      </c>
      <c r="E22" s="6">
        <v>785.0</v>
      </c>
      <c r="F22" s="6">
        <v>0.0</v>
      </c>
      <c r="G22" s="6">
        <v>0.0</v>
      </c>
      <c r="H22" s="6">
        <v>785.0</v>
      </c>
      <c r="I22" s="6">
        <v>0.0</v>
      </c>
      <c r="J22" s="6">
        <v>750.0</v>
      </c>
      <c r="K22" s="6">
        <v>35.0</v>
      </c>
    </row>
    <row r="23" ht="15.75" customHeight="1">
      <c r="B23" s="6" t="s">
        <v>540</v>
      </c>
      <c r="C23" s="6" t="s">
        <v>423</v>
      </c>
      <c r="D23" s="6" t="s">
        <v>65</v>
      </c>
      <c r="E23" s="6">
        <v>50.0</v>
      </c>
      <c r="F23" s="6">
        <v>0.0</v>
      </c>
      <c r="G23" s="6">
        <v>0.0</v>
      </c>
      <c r="H23" s="6">
        <v>50.0</v>
      </c>
      <c r="I23" s="6">
        <v>0.0</v>
      </c>
      <c r="J23" s="6">
        <v>50.0</v>
      </c>
      <c r="K23" s="6">
        <v>0.0</v>
      </c>
    </row>
    <row r="24" ht="15.75" customHeight="1">
      <c r="B24" s="6" t="s">
        <v>541</v>
      </c>
      <c r="C24" s="6" t="s">
        <v>423</v>
      </c>
      <c r="D24" s="6" t="s">
        <v>65</v>
      </c>
      <c r="E24" s="6">
        <v>50.0</v>
      </c>
      <c r="F24" s="6">
        <v>0.0</v>
      </c>
      <c r="G24" s="6">
        <v>0.0</v>
      </c>
      <c r="H24" s="6">
        <v>50.0</v>
      </c>
      <c r="I24" s="6">
        <v>0.0</v>
      </c>
      <c r="J24" s="6">
        <v>50.0</v>
      </c>
      <c r="K24" s="6">
        <v>0.0</v>
      </c>
    </row>
    <row r="25" ht="15.75" customHeight="1">
      <c r="B25" s="6" t="s">
        <v>542</v>
      </c>
      <c r="C25" s="6" t="s">
        <v>543</v>
      </c>
      <c r="D25" s="6" t="s">
        <v>544</v>
      </c>
      <c r="E25" s="6">
        <v>250.0</v>
      </c>
      <c r="F25" s="6">
        <v>0.0</v>
      </c>
      <c r="G25" s="6">
        <v>250.0</v>
      </c>
      <c r="H25" s="6">
        <v>0.0</v>
      </c>
      <c r="I25" s="6">
        <v>0.0</v>
      </c>
      <c r="J25" s="6">
        <v>250.0</v>
      </c>
      <c r="K25" s="6">
        <v>0.0</v>
      </c>
    </row>
    <row r="26" ht="15.75" customHeight="1">
      <c r="B26" s="6" t="s">
        <v>545</v>
      </c>
      <c r="C26" s="6" t="s">
        <v>546</v>
      </c>
      <c r="E26" s="6">
        <v>685.0</v>
      </c>
      <c r="F26" s="6">
        <v>0.0</v>
      </c>
      <c r="G26" s="6">
        <v>685.0</v>
      </c>
      <c r="H26" s="6">
        <v>0.0</v>
      </c>
      <c r="I26" s="6">
        <v>0.0</v>
      </c>
      <c r="J26" s="6">
        <v>650.0</v>
      </c>
      <c r="K26" s="6">
        <v>35.0</v>
      </c>
    </row>
    <row r="27" ht="15.75" customHeight="1">
      <c r="B27" s="6" t="s">
        <v>384</v>
      </c>
      <c r="C27" s="6" t="s">
        <v>547</v>
      </c>
      <c r="D27" s="6" t="s">
        <v>548</v>
      </c>
      <c r="E27" s="6">
        <v>420.0</v>
      </c>
      <c r="F27" s="6">
        <v>0.0</v>
      </c>
      <c r="G27" s="6">
        <v>420.0</v>
      </c>
      <c r="H27" s="6">
        <v>0.0</v>
      </c>
      <c r="I27" s="6">
        <v>0.0</v>
      </c>
      <c r="J27" s="6">
        <v>420.0</v>
      </c>
      <c r="K27" s="6">
        <v>0.0</v>
      </c>
    </row>
    <row r="28" ht="15.75" customHeight="1">
      <c r="B28" s="6" t="s">
        <v>107</v>
      </c>
      <c r="C28" s="6" t="s">
        <v>549</v>
      </c>
      <c r="D28" s="6" t="s">
        <v>152</v>
      </c>
      <c r="E28" s="6">
        <v>450.0</v>
      </c>
      <c r="F28" s="6">
        <v>450.0</v>
      </c>
      <c r="G28" s="6">
        <v>0.0</v>
      </c>
      <c r="H28" s="6">
        <v>0.0</v>
      </c>
      <c r="I28" s="6">
        <v>0.0</v>
      </c>
      <c r="J28" s="6">
        <v>450.0</v>
      </c>
      <c r="K28" s="6">
        <v>0.0</v>
      </c>
    </row>
    <row r="29" ht="15.75" customHeight="1">
      <c r="E29" s="6">
        <f t="shared" ref="E29:K29" si="3">SUM(E20:E28)</f>
        <v>2790</v>
      </c>
      <c r="F29" s="6">
        <f t="shared" si="3"/>
        <v>450</v>
      </c>
      <c r="G29" s="6">
        <f t="shared" si="3"/>
        <v>1355</v>
      </c>
      <c r="H29" s="6">
        <f t="shared" si="3"/>
        <v>985</v>
      </c>
      <c r="I29" s="6">
        <f t="shared" si="3"/>
        <v>0</v>
      </c>
      <c r="J29" s="6">
        <f t="shared" si="3"/>
        <v>2720</v>
      </c>
      <c r="K29" s="6">
        <f t="shared" si="3"/>
        <v>70</v>
      </c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 t="s">
        <v>550</v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ht="15.75" customHeight="1">
      <c r="A32" s="5">
        <v>45754.0</v>
      </c>
      <c r="B32" s="6" t="s">
        <v>551</v>
      </c>
      <c r="C32" s="6" t="s">
        <v>410</v>
      </c>
      <c r="D32" s="6" t="s">
        <v>65</v>
      </c>
      <c r="E32" s="6">
        <v>50.0</v>
      </c>
      <c r="F32" s="6">
        <v>0.0</v>
      </c>
      <c r="G32" s="6">
        <v>0.0</v>
      </c>
      <c r="H32" s="6">
        <v>50.0</v>
      </c>
      <c r="I32" s="6">
        <v>0.0</v>
      </c>
      <c r="J32" s="6">
        <v>50.0</v>
      </c>
      <c r="K32" s="6">
        <v>0.0</v>
      </c>
    </row>
    <row r="33" ht="15.75" customHeight="1">
      <c r="B33" s="6" t="s">
        <v>552</v>
      </c>
      <c r="C33" s="6" t="s">
        <v>410</v>
      </c>
      <c r="D33" s="6" t="s">
        <v>65</v>
      </c>
      <c r="E33" s="6">
        <v>50.0</v>
      </c>
      <c r="F33" s="6">
        <v>0.0</v>
      </c>
      <c r="G33" s="6">
        <v>0.0</v>
      </c>
      <c r="H33" s="6">
        <v>50.0</v>
      </c>
      <c r="I33" s="6">
        <v>0.0</v>
      </c>
      <c r="J33" s="6">
        <v>50.0</v>
      </c>
      <c r="K33" s="6">
        <v>0.0</v>
      </c>
    </row>
    <row r="34" ht="15.75" customHeight="1">
      <c r="B34" s="6" t="s">
        <v>553</v>
      </c>
      <c r="C34" s="6" t="s">
        <v>554</v>
      </c>
      <c r="D34" s="6" t="s">
        <v>337</v>
      </c>
      <c r="E34" s="6">
        <v>250.0</v>
      </c>
      <c r="F34" s="6">
        <v>0.0</v>
      </c>
      <c r="G34" s="6">
        <v>250.0</v>
      </c>
      <c r="H34" s="6">
        <v>0.0</v>
      </c>
      <c r="I34" s="6">
        <v>0.0</v>
      </c>
      <c r="J34" s="6">
        <v>250.0</v>
      </c>
      <c r="K34" s="6">
        <v>0.0</v>
      </c>
    </row>
    <row r="35" ht="15.75" customHeight="1">
      <c r="B35" s="6"/>
      <c r="C35" s="6" t="s">
        <v>555</v>
      </c>
      <c r="D35" s="6" t="s">
        <v>352</v>
      </c>
      <c r="E35" s="6">
        <v>500.0</v>
      </c>
      <c r="F35" s="6">
        <v>0.0</v>
      </c>
      <c r="G35" s="6">
        <v>500.0</v>
      </c>
      <c r="H35" s="6">
        <v>0.0</v>
      </c>
      <c r="I35" s="6">
        <v>0.0</v>
      </c>
      <c r="J35" s="6">
        <v>500.0</v>
      </c>
      <c r="K35" s="6">
        <v>0.0</v>
      </c>
    </row>
    <row r="36" ht="15.75" customHeight="1">
      <c r="B36" s="6" t="s">
        <v>353</v>
      </c>
      <c r="C36" s="6" t="s">
        <v>556</v>
      </c>
      <c r="D36" s="6" t="s">
        <v>557</v>
      </c>
      <c r="E36" s="6">
        <v>450.0</v>
      </c>
      <c r="F36" s="6">
        <v>450.0</v>
      </c>
      <c r="G36" s="6">
        <v>0.0</v>
      </c>
      <c r="H36" s="6">
        <v>0.0</v>
      </c>
      <c r="I36" s="6">
        <v>0.0</v>
      </c>
      <c r="J36" s="6">
        <v>450.0</v>
      </c>
      <c r="K36" s="6">
        <v>0.0</v>
      </c>
    </row>
    <row r="37" ht="15.75" customHeight="1">
      <c r="B37" s="6" t="s">
        <v>558</v>
      </c>
      <c r="C37" s="6" t="s">
        <v>398</v>
      </c>
      <c r="D37" s="6" t="s">
        <v>65</v>
      </c>
      <c r="E37" s="6">
        <v>50.0</v>
      </c>
      <c r="F37" s="6">
        <v>0.0</v>
      </c>
      <c r="G37" s="6">
        <v>50.0</v>
      </c>
      <c r="H37" s="6">
        <v>0.0</v>
      </c>
      <c r="I37" s="6">
        <v>0.0</v>
      </c>
      <c r="J37" s="6">
        <v>50.0</v>
      </c>
      <c r="K37" s="6">
        <v>0.0</v>
      </c>
    </row>
    <row r="38" ht="15.75" customHeight="1">
      <c r="E38" s="6">
        <f>SUM(E32:E37)</f>
        <v>1350</v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5">
        <v>45755.0</v>
      </c>
      <c r="B40" s="6" t="s">
        <v>225</v>
      </c>
      <c r="C40" s="6" t="s">
        <v>559</v>
      </c>
      <c r="D40" s="6" t="s">
        <v>560</v>
      </c>
      <c r="E40" s="6">
        <v>900.0</v>
      </c>
      <c r="F40" s="6">
        <v>900.0</v>
      </c>
      <c r="G40" s="6">
        <v>0.0</v>
      </c>
      <c r="H40" s="6">
        <v>0.0</v>
      </c>
      <c r="I40" s="6">
        <v>0.0</v>
      </c>
      <c r="J40" s="6">
        <v>900.0</v>
      </c>
      <c r="K40" s="6">
        <v>0.0</v>
      </c>
    </row>
    <row r="41" ht="15.75" customHeight="1">
      <c r="B41" s="6" t="s">
        <v>561</v>
      </c>
      <c r="C41" s="6" t="s">
        <v>562</v>
      </c>
      <c r="D41" s="6" t="s">
        <v>563</v>
      </c>
      <c r="E41" s="6">
        <v>300.0</v>
      </c>
      <c r="F41" s="6">
        <v>300.0</v>
      </c>
      <c r="G41" s="6">
        <v>0.0</v>
      </c>
      <c r="H41" s="6">
        <v>0.0</v>
      </c>
      <c r="I41" s="6">
        <v>0.0</v>
      </c>
      <c r="J41" s="6">
        <v>300.0</v>
      </c>
      <c r="K41" s="6">
        <v>0.0</v>
      </c>
    </row>
    <row r="42" ht="15.75" customHeight="1">
      <c r="B42" s="6" t="s">
        <v>487</v>
      </c>
      <c r="C42" s="6" t="s">
        <v>564</v>
      </c>
      <c r="D42" s="6" t="s">
        <v>565</v>
      </c>
      <c r="E42" s="6">
        <v>600.0</v>
      </c>
      <c r="F42" s="6">
        <v>150.0</v>
      </c>
      <c r="G42" s="6">
        <v>450.0</v>
      </c>
      <c r="H42" s="6">
        <v>0.0</v>
      </c>
      <c r="I42" s="6">
        <v>0.0</v>
      </c>
      <c r="J42" s="6">
        <v>600.0</v>
      </c>
      <c r="K42" s="6">
        <v>0.0</v>
      </c>
    </row>
    <row r="43" ht="15.75" customHeight="1">
      <c r="B43" s="6" t="s">
        <v>71</v>
      </c>
      <c r="C43" s="6" t="s">
        <v>566</v>
      </c>
      <c r="D43" s="6" t="s">
        <v>152</v>
      </c>
      <c r="E43" s="6">
        <v>200.0</v>
      </c>
      <c r="F43" s="6">
        <v>0.0</v>
      </c>
      <c r="G43" s="6">
        <v>200.0</v>
      </c>
      <c r="H43" s="6">
        <v>0.0</v>
      </c>
      <c r="I43" s="6">
        <v>0.0</v>
      </c>
      <c r="J43" s="6">
        <v>200.0</v>
      </c>
      <c r="K43" s="6">
        <v>0.0</v>
      </c>
    </row>
    <row r="44" ht="15.75" customHeight="1">
      <c r="B44" s="6" t="s">
        <v>567</v>
      </c>
      <c r="C44" s="6" t="s">
        <v>568</v>
      </c>
      <c r="D44" s="6" t="s">
        <v>152</v>
      </c>
      <c r="E44" s="6">
        <v>250.0</v>
      </c>
      <c r="F44" s="6">
        <v>250.0</v>
      </c>
      <c r="G44" s="6">
        <v>0.0</v>
      </c>
      <c r="H44" s="6">
        <v>0.0</v>
      </c>
      <c r="I44" s="6">
        <v>0.0</v>
      </c>
      <c r="J44" s="6">
        <v>250.0</v>
      </c>
      <c r="K44" s="6">
        <v>0.0</v>
      </c>
    </row>
    <row r="45" ht="15.75" customHeight="1">
      <c r="B45" s="6" t="s">
        <v>569</v>
      </c>
      <c r="C45" s="6" t="s">
        <v>570</v>
      </c>
      <c r="D45" s="6" t="s">
        <v>571</v>
      </c>
      <c r="E45" s="6">
        <v>700.0</v>
      </c>
      <c r="F45" s="6">
        <v>0.0</v>
      </c>
      <c r="G45" s="6">
        <v>700.0</v>
      </c>
      <c r="H45" s="6">
        <v>0.0</v>
      </c>
      <c r="I45" s="6">
        <v>0.0</v>
      </c>
      <c r="J45" s="6">
        <v>700.0</v>
      </c>
      <c r="K45" s="6">
        <v>0.0</v>
      </c>
    </row>
    <row r="46" ht="15.75" customHeight="1">
      <c r="B46" s="6" t="s">
        <v>572</v>
      </c>
      <c r="C46" s="6" t="s">
        <v>573</v>
      </c>
      <c r="D46" s="6" t="s">
        <v>574</v>
      </c>
      <c r="E46" s="6">
        <v>550.0</v>
      </c>
      <c r="F46" s="6">
        <v>0.0</v>
      </c>
      <c r="G46" s="6">
        <v>550.0</v>
      </c>
      <c r="H46" s="6">
        <v>0.0</v>
      </c>
      <c r="I46" s="6">
        <v>0.0</v>
      </c>
      <c r="J46" s="6">
        <v>550.0</v>
      </c>
      <c r="K46" s="6">
        <v>0.0</v>
      </c>
    </row>
    <row r="47" ht="15.75" customHeight="1">
      <c r="E47" s="6">
        <f t="shared" ref="E47:G47" si="4">SUM(E40:E46)</f>
        <v>3500</v>
      </c>
      <c r="F47" s="6">
        <f t="shared" si="4"/>
        <v>1600</v>
      </c>
      <c r="G47" s="6">
        <f t="shared" si="4"/>
        <v>1900</v>
      </c>
      <c r="J47" s="6">
        <f>SUM(J40:J46)</f>
        <v>3500</v>
      </c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5">
        <v>45756.0</v>
      </c>
      <c r="B49" s="6" t="s">
        <v>575</v>
      </c>
      <c r="C49" s="6" t="s">
        <v>576</v>
      </c>
      <c r="D49" s="6" t="s">
        <v>577</v>
      </c>
      <c r="E49" s="6">
        <v>950.0</v>
      </c>
      <c r="F49" s="6">
        <v>950.0</v>
      </c>
      <c r="G49" s="6">
        <v>0.0</v>
      </c>
      <c r="H49" s="6">
        <v>0.0</v>
      </c>
      <c r="I49" s="6">
        <v>0.0</v>
      </c>
      <c r="J49" s="6">
        <v>950.0</v>
      </c>
      <c r="K49" s="6">
        <v>0.0</v>
      </c>
    </row>
    <row r="50" ht="15.75" customHeight="1">
      <c r="B50" s="6" t="s">
        <v>578</v>
      </c>
      <c r="C50" s="6" t="s">
        <v>579</v>
      </c>
      <c r="D50" s="6" t="s">
        <v>580</v>
      </c>
      <c r="E50" s="6">
        <v>370.0</v>
      </c>
      <c r="F50" s="6">
        <v>370.0</v>
      </c>
      <c r="G50" s="6">
        <v>0.0</v>
      </c>
      <c r="H50" s="6">
        <v>0.0</v>
      </c>
      <c r="I50" s="6">
        <v>0.0</v>
      </c>
      <c r="J50" s="6">
        <v>370.0</v>
      </c>
      <c r="K50" s="6">
        <v>0.0</v>
      </c>
    </row>
    <row r="51" ht="15.75" customHeight="1">
      <c r="B51" s="6" t="s">
        <v>581</v>
      </c>
      <c r="C51" s="6" t="s">
        <v>582</v>
      </c>
      <c r="D51" s="6" t="s">
        <v>583</v>
      </c>
      <c r="E51" s="6">
        <v>300.0</v>
      </c>
      <c r="F51" s="6">
        <v>0.0</v>
      </c>
      <c r="G51" s="6">
        <v>300.0</v>
      </c>
      <c r="H51" s="6">
        <v>0.0</v>
      </c>
      <c r="I51" s="6">
        <v>0.0</v>
      </c>
      <c r="J51" s="6">
        <v>300.0</v>
      </c>
      <c r="K51" s="6">
        <v>0.0</v>
      </c>
    </row>
    <row r="52" ht="15.75" customHeight="1">
      <c r="B52" s="6" t="s">
        <v>584</v>
      </c>
      <c r="C52" s="6" t="s">
        <v>585</v>
      </c>
      <c r="D52" s="6" t="s">
        <v>586</v>
      </c>
      <c r="E52" s="6">
        <v>600.0</v>
      </c>
      <c r="F52" s="6">
        <v>400.0</v>
      </c>
      <c r="G52" s="6">
        <v>200.0</v>
      </c>
      <c r="H52" s="6">
        <v>0.0</v>
      </c>
      <c r="I52" s="6">
        <v>0.0</v>
      </c>
      <c r="J52" s="6">
        <v>600.0</v>
      </c>
      <c r="K52" s="6">
        <v>0.0</v>
      </c>
    </row>
    <row r="53" ht="15.75" customHeight="1">
      <c r="B53" s="6" t="s">
        <v>587</v>
      </c>
      <c r="C53" s="6" t="s">
        <v>588</v>
      </c>
      <c r="D53" s="6" t="s">
        <v>583</v>
      </c>
      <c r="E53" s="6">
        <v>650.0</v>
      </c>
      <c r="F53" s="6">
        <v>0.0</v>
      </c>
      <c r="G53" s="6">
        <v>0.0</v>
      </c>
      <c r="H53" s="6">
        <v>650.0</v>
      </c>
      <c r="I53" s="6">
        <v>0.0</v>
      </c>
      <c r="J53" s="6">
        <v>650.0</v>
      </c>
      <c r="K53" s="6">
        <v>0.0</v>
      </c>
    </row>
    <row r="54" ht="15.75" customHeight="1">
      <c r="B54" s="6" t="s">
        <v>589</v>
      </c>
      <c r="C54" s="6" t="s">
        <v>590</v>
      </c>
      <c r="D54" s="6" t="s">
        <v>591</v>
      </c>
      <c r="E54" s="6">
        <v>220.0</v>
      </c>
      <c r="F54" s="6">
        <v>0.0</v>
      </c>
      <c r="G54" s="6">
        <v>220.0</v>
      </c>
      <c r="H54" s="6">
        <v>0.0</v>
      </c>
      <c r="I54" s="6">
        <v>0.0</v>
      </c>
      <c r="J54" s="6">
        <v>220.0</v>
      </c>
      <c r="K54" s="6">
        <v>0.0</v>
      </c>
    </row>
    <row r="55" ht="15.75" customHeight="1">
      <c r="B55" s="6" t="s">
        <v>74</v>
      </c>
      <c r="C55" s="6" t="s">
        <v>592</v>
      </c>
      <c r="D55" s="6" t="s">
        <v>593</v>
      </c>
      <c r="E55" s="6">
        <v>900.0</v>
      </c>
      <c r="F55" s="6">
        <v>400.0</v>
      </c>
      <c r="G55" s="6">
        <v>500.0</v>
      </c>
      <c r="H55" s="6">
        <v>0.0</v>
      </c>
      <c r="I55" s="6">
        <v>0.0</v>
      </c>
      <c r="J55" s="6">
        <v>800.0</v>
      </c>
      <c r="K55" s="6">
        <v>40.0</v>
      </c>
    </row>
    <row r="56" ht="15.75" customHeight="1">
      <c r="B56" s="6" t="s">
        <v>594</v>
      </c>
      <c r="D56" s="6" t="s">
        <v>591</v>
      </c>
      <c r="E56" s="6">
        <v>225.0</v>
      </c>
      <c r="F56" s="6">
        <v>225.0</v>
      </c>
      <c r="G56" s="6">
        <v>0.0</v>
      </c>
      <c r="H56" s="6">
        <v>0.0</v>
      </c>
      <c r="I56" s="6">
        <v>0.0</v>
      </c>
      <c r="J56" s="6">
        <v>225.0</v>
      </c>
      <c r="K56" s="6">
        <v>0.0</v>
      </c>
    </row>
    <row r="57" ht="15.75" customHeight="1">
      <c r="E57" s="6">
        <f t="shared" ref="E57:G57" si="5">SUM(E49:E56)</f>
        <v>4215</v>
      </c>
      <c r="F57" s="6">
        <f t="shared" si="5"/>
        <v>2345</v>
      </c>
      <c r="G57" s="6">
        <f t="shared" si="5"/>
        <v>1220</v>
      </c>
      <c r="J57" s="6">
        <f>SUM(J49:J56)</f>
        <v>4115</v>
      </c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 t="s">
        <v>595</v>
      </c>
    </row>
    <row r="59" ht="15.75" customHeight="1">
      <c r="A59" s="5">
        <v>45757.0</v>
      </c>
      <c r="B59" s="6" t="s">
        <v>596</v>
      </c>
      <c r="C59" s="6" t="s">
        <v>597</v>
      </c>
      <c r="D59" s="6" t="s">
        <v>598</v>
      </c>
      <c r="E59" s="6">
        <v>250.0</v>
      </c>
      <c r="F59" s="6">
        <v>250.0</v>
      </c>
      <c r="G59" s="6">
        <v>0.0</v>
      </c>
      <c r="H59" s="6">
        <v>0.0</v>
      </c>
      <c r="I59" s="6">
        <v>0.0</v>
      </c>
      <c r="J59" s="6">
        <v>250.0</v>
      </c>
      <c r="K59" s="6">
        <v>0.0</v>
      </c>
    </row>
    <row r="60" ht="15.75" customHeight="1">
      <c r="B60" s="6" t="s">
        <v>599</v>
      </c>
      <c r="C60" s="6" t="s">
        <v>600</v>
      </c>
      <c r="D60" s="6" t="s">
        <v>601</v>
      </c>
      <c r="E60" s="6">
        <v>335.0</v>
      </c>
      <c r="F60" s="6">
        <v>335.0</v>
      </c>
      <c r="G60" s="6">
        <v>0.0</v>
      </c>
      <c r="H60" s="6">
        <v>0.0</v>
      </c>
      <c r="I60" s="6">
        <v>0.0</v>
      </c>
      <c r="J60" s="6">
        <v>335.0</v>
      </c>
      <c r="K60" s="6">
        <v>0.0</v>
      </c>
    </row>
    <row r="61" ht="15.75" customHeight="1">
      <c r="B61" s="6" t="s">
        <v>363</v>
      </c>
      <c r="C61" s="6" t="s">
        <v>602</v>
      </c>
      <c r="D61" s="6" t="s">
        <v>365</v>
      </c>
      <c r="E61" s="6">
        <v>80.0</v>
      </c>
      <c r="F61" s="6">
        <v>80.0</v>
      </c>
      <c r="G61" s="6">
        <v>0.0</v>
      </c>
      <c r="H61" s="6">
        <v>0.0</v>
      </c>
      <c r="I61" s="6">
        <v>0.0</v>
      </c>
      <c r="J61" s="6">
        <v>80.0</v>
      </c>
      <c r="K61" s="6">
        <v>0.0</v>
      </c>
    </row>
    <row r="62" ht="15.75" customHeight="1">
      <c r="E62" s="6">
        <f t="shared" ref="E62:K62" si="6">SUM(E59:E61)</f>
        <v>665</v>
      </c>
      <c r="F62" s="6">
        <f t="shared" si="6"/>
        <v>665</v>
      </c>
      <c r="G62" s="6">
        <f t="shared" si="6"/>
        <v>0</v>
      </c>
      <c r="H62" s="6">
        <f t="shared" si="6"/>
        <v>0</v>
      </c>
      <c r="I62" s="6">
        <f t="shared" si="6"/>
        <v>0</v>
      </c>
      <c r="J62" s="6">
        <f t="shared" si="6"/>
        <v>665</v>
      </c>
      <c r="K62" s="6">
        <f t="shared" si="6"/>
        <v>0</v>
      </c>
    </row>
    <row r="63" ht="15.75" customHeight="1"/>
    <row r="64" ht="15.75" customHeight="1">
      <c r="B64" s="6" t="s">
        <v>603</v>
      </c>
      <c r="C64" s="6" t="s">
        <v>604</v>
      </c>
      <c r="D64" s="6" t="s">
        <v>431</v>
      </c>
      <c r="E64" s="6">
        <v>80.0</v>
      </c>
      <c r="F64" s="6">
        <v>0.0</v>
      </c>
      <c r="G64" s="6">
        <v>80.0</v>
      </c>
    </row>
    <row r="65" ht="15.75" customHeight="1">
      <c r="B65" s="6" t="s">
        <v>605</v>
      </c>
      <c r="C65" s="6" t="s">
        <v>606</v>
      </c>
      <c r="D65" s="6" t="s">
        <v>341</v>
      </c>
      <c r="E65" s="6">
        <v>300.0</v>
      </c>
      <c r="F65" s="6">
        <v>0.0</v>
      </c>
      <c r="G65" s="6">
        <v>300.0</v>
      </c>
    </row>
    <row r="66" ht="15.75" customHeight="1">
      <c r="B66" s="6" t="s">
        <v>607</v>
      </c>
      <c r="C66" s="6" t="s">
        <v>337</v>
      </c>
      <c r="D66" s="6" t="s">
        <v>337</v>
      </c>
      <c r="E66" s="6">
        <v>250.0</v>
      </c>
      <c r="F66" s="6">
        <v>250.0</v>
      </c>
      <c r="G66" s="6">
        <v>0.0</v>
      </c>
    </row>
    <row r="67" ht="15.75" customHeight="1">
      <c r="B67" s="6"/>
      <c r="C67" s="6"/>
      <c r="D67" s="6"/>
      <c r="E67" s="6">
        <v>630.0</v>
      </c>
      <c r="F67" s="6">
        <v>250.0</v>
      </c>
      <c r="G67" s="6">
        <v>380.0</v>
      </c>
    </row>
    <row r="68" ht="15.75" customHeight="1">
      <c r="B68" s="6"/>
      <c r="C68" s="6"/>
      <c r="D68" s="6"/>
      <c r="E68" s="6">
        <v>1295.0</v>
      </c>
      <c r="F68" s="6">
        <v>915.0</v>
      </c>
      <c r="G68" s="6">
        <v>380.0</v>
      </c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5">
        <v>45761.0</v>
      </c>
      <c r="B71" s="6" t="s">
        <v>201</v>
      </c>
      <c r="C71" s="6" t="s">
        <v>608</v>
      </c>
      <c r="D71" s="6" t="s">
        <v>609</v>
      </c>
      <c r="E71" s="6">
        <v>1400.0</v>
      </c>
      <c r="F71" s="6">
        <v>0.0</v>
      </c>
      <c r="G71" s="6">
        <v>1400.0</v>
      </c>
      <c r="H71" s="6">
        <v>0.0</v>
      </c>
      <c r="I71" s="6">
        <v>0.0</v>
      </c>
      <c r="J71" s="6">
        <v>1400.0</v>
      </c>
      <c r="K71" s="6">
        <v>0.0</v>
      </c>
    </row>
    <row r="72" ht="15.75" customHeight="1">
      <c r="B72" s="6" t="s">
        <v>610</v>
      </c>
      <c r="C72" s="6" t="s">
        <v>611</v>
      </c>
      <c r="D72" s="6" t="s">
        <v>612</v>
      </c>
      <c r="E72" s="6">
        <v>500.0</v>
      </c>
      <c r="F72" s="6">
        <v>0.0</v>
      </c>
      <c r="G72" s="6">
        <v>500.0</v>
      </c>
      <c r="H72" s="6">
        <v>0.0</v>
      </c>
      <c r="I72" s="6">
        <v>0.0</v>
      </c>
      <c r="J72" s="6">
        <v>500.0</v>
      </c>
      <c r="K72" s="6">
        <v>0.0</v>
      </c>
    </row>
    <row r="73" ht="15.75" customHeight="1">
      <c r="B73" s="6" t="s">
        <v>613</v>
      </c>
      <c r="C73" s="6" t="s">
        <v>614</v>
      </c>
      <c r="D73" s="6" t="s">
        <v>270</v>
      </c>
      <c r="E73" s="6">
        <v>250.0</v>
      </c>
      <c r="F73" s="6">
        <v>250.0</v>
      </c>
      <c r="G73" s="6">
        <v>0.0</v>
      </c>
      <c r="H73" s="6">
        <v>0.0</v>
      </c>
      <c r="I73" s="6">
        <v>0.0</v>
      </c>
      <c r="J73" s="6">
        <v>250.0</v>
      </c>
      <c r="K73" s="6">
        <v>0.0</v>
      </c>
    </row>
    <row r="74" ht="15.75" customHeight="1">
      <c r="B74" s="6" t="s">
        <v>615</v>
      </c>
      <c r="C74" s="6" t="s">
        <v>616</v>
      </c>
      <c r="D74" s="6" t="s">
        <v>617</v>
      </c>
      <c r="E74" s="6">
        <v>670.0</v>
      </c>
      <c r="F74" s="6">
        <v>670.0</v>
      </c>
      <c r="G74" s="6">
        <v>0.0</v>
      </c>
      <c r="H74" s="6">
        <v>0.0</v>
      </c>
      <c r="I74" s="6">
        <v>0.0</v>
      </c>
      <c r="J74" s="6">
        <v>670.0</v>
      </c>
      <c r="K74" s="6">
        <v>0.0</v>
      </c>
    </row>
    <row r="75" ht="15.75" customHeight="1">
      <c r="B75" s="6" t="s">
        <v>294</v>
      </c>
      <c r="C75" s="6" t="s">
        <v>618</v>
      </c>
      <c r="D75" s="6" t="s">
        <v>619</v>
      </c>
      <c r="E75" s="6">
        <v>600.0</v>
      </c>
      <c r="F75" s="6">
        <v>600.0</v>
      </c>
      <c r="G75" s="6">
        <v>0.0</v>
      </c>
      <c r="H75" s="6">
        <v>0.0</v>
      </c>
      <c r="I75" s="6">
        <v>0.0</v>
      </c>
      <c r="J75" s="6">
        <v>600.0</v>
      </c>
      <c r="K75" s="6">
        <v>0.0</v>
      </c>
    </row>
    <row r="76" ht="15.75" customHeight="1">
      <c r="B76" s="6" t="s">
        <v>620</v>
      </c>
      <c r="C76" s="6" t="s">
        <v>621</v>
      </c>
      <c r="D76" s="6" t="s">
        <v>448</v>
      </c>
      <c r="E76" s="6">
        <v>300.0</v>
      </c>
      <c r="F76" s="6">
        <v>300.0</v>
      </c>
      <c r="G76" s="6">
        <v>0.0</v>
      </c>
      <c r="H76" s="6">
        <v>0.0</v>
      </c>
      <c r="I76" s="6">
        <v>0.0</v>
      </c>
      <c r="J76" s="6">
        <v>300.0</v>
      </c>
      <c r="K76" s="6">
        <v>0.0</v>
      </c>
    </row>
    <row r="77" ht="15.75" customHeight="1">
      <c r="B77" s="6" t="s">
        <v>622</v>
      </c>
      <c r="C77" s="6" t="s">
        <v>623</v>
      </c>
      <c r="D77" s="6" t="s">
        <v>65</v>
      </c>
      <c r="E77" s="6">
        <v>50.0</v>
      </c>
      <c r="F77" s="6">
        <v>0.0</v>
      </c>
      <c r="G77" s="6">
        <v>0.0</v>
      </c>
      <c r="H77" s="6">
        <v>50.0</v>
      </c>
      <c r="I77" s="6">
        <v>0.0</v>
      </c>
      <c r="J77" s="6">
        <v>50.0</v>
      </c>
      <c r="K77" s="6">
        <v>0.0</v>
      </c>
    </row>
    <row r="78" ht="15.75" customHeight="1">
      <c r="E78" s="6">
        <f t="shared" ref="E78:G78" si="7">SUM(E71:E77)</f>
        <v>3770</v>
      </c>
      <c r="F78" s="6">
        <f t="shared" si="7"/>
        <v>1820</v>
      </c>
      <c r="G78" s="6">
        <f t="shared" si="7"/>
        <v>1900</v>
      </c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 t="s">
        <v>624</v>
      </c>
    </row>
    <row r="80" ht="15.75" customHeight="1">
      <c r="A80" s="5">
        <v>45762.0</v>
      </c>
      <c r="B80" s="6" t="s">
        <v>625</v>
      </c>
      <c r="C80" s="6" t="s">
        <v>626</v>
      </c>
      <c r="D80" s="6" t="s">
        <v>627</v>
      </c>
      <c r="E80" s="6">
        <v>600.0</v>
      </c>
      <c r="F80" s="6">
        <v>600.0</v>
      </c>
      <c r="G80" s="6">
        <v>0.0</v>
      </c>
      <c r="H80" s="6">
        <v>0.0</v>
      </c>
      <c r="I80" s="6">
        <v>0.0</v>
      </c>
      <c r="J80" s="6">
        <v>600.0</v>
      </c>
      <c r="K80" s="6">
        <v>0.0</v>
      </c>
    </row>
    <row r="81" ht="15.75" customHeight="1">
      <c r="B81" s="6" t="s">
        <v>628</v>
      </c>
      <c r="C81" s="6" t="s">
        <v>629</v>
      </c>
      <c r="D81" s="6" t="s">
        <v>630</v>
      </c>
      <c r="E81" s="6">
        <v>300.0</v>
      </c>
      <c r="F81" s="6">
        <v>0.0</v>
      </c>
      <c r="G81" s="6">
        <v>300.0</v>
      </c>
      <c r="H81" s="6">
        <v>0.0</v>
      </c>
      <c r="I81" s="6">
        <v>0.0</v>
      </c>
      <c r="J81" s="6">
        <v>300.0</v>
      </c>
      <c r="K81" s="6">
        <v>0.0</v>
      </c>
    </row>
    <row r="82" ht="15.75" customHeight="1">
      <c r="B82" s="6" t="s">
        <v>213</v>
      </c>
      <c r="C82" s="6" t="s">
        <v>631</v>
      </c>
      <c r="D82" s="6" t="s">
        <v>632</v>
      </c>
      <c r="E82" s="6">
        <v>1250.0</v>
      </c>
      <c r="F82" s="6">
        <v>1250.0</v>
      </c>
      <c r="G82" s="6"/>
      <c r="H82" s="6">
        <v>0.0</v>
      </c>
      <c r="I82" s="6">
        <v>0.0</v>
      </c>
      <c r="J82" s="6">
        <v>450.0</v>
      </c>
      <c r="K82" s="6">
        <v>0.0</v>
      </c>
    </row>
    <row r="83" ht="15.75" customHeight="1">
      <c r="B83" s="6" t="s">
        <v>551</v>
      </c>
      <c r="C83" s="6" t="s">
        <v>633</v>
      </c>
      <c r="D83" s="6" t="s">
        <v>51</v>
      </c>
      <c r="E83" s="6">
        <v>250.0</v>
      </c>
      <c r="F83" s="6"/>
      <c r="G83" s="6"/>
      <c r="H83" s="6"/>
      <c r="I83" s="6"/>
      <c r="J83" s="6"/>
      <c r="K83" s="6"/>
    </row>
    <row r="84" ht="15.75" customHeight="1">
      <c r="B84" s="6" t="s">
        <v>634</v>
      </c>
      <c r="C84" s="6" t="s">
        <v>635</v>
      </c>
      <c r="D84" s="6" t="s">
        <v>636</v>
      </c>
      <c r="E84" s="6">
        <v>450.0</v>
      </c>
      <c r="F84" s="6">
        <v>0.0</v>
      </c>
      <c r="G84" s="6">
        <v>450.0</v>
      </c>
      <c r="H84" s="6">
        <v>0.0</v>
      </c>
      <c r="I84" s="6">
        <v>0.0</v>
      </c>
      <c r="J84" s="6">
        <v>450.0</v>
      </c>
      <c r="K84" s="6">
        <v>0.0</v>
      </c>
    </row>
    <row r="85" ht="15.75" customHeight="1">
      <c r="B85" s="6" t="s">
        <v>521</v>
      </c>
      <c r="C85" s="6" t="s">
        <v>637</v>
      </c>
      <c r="D85" s="6" t="s">
        <v>638</v>
      </c>
      <c r="E85" s="6">
        <v>500.0</v>
      </c>
      <c r="F85" s="6">
        <v>0.0</v>
      </c>
      <c r="G85" s="6">
        <v>500.0</v>
      </c>
      <c r="H85" s="6">
        <v>0.0</v>
      </c>
      <c r="I85" s="6">
        <v>0.0</v>
      </c>
      <c r="J85" s="6">
        <v>500.0</v>
      </c>
      <c r="K85" s="6">
        <v>0.0</v>
      </c>
    </row>
    <row r="86" ht="15.75" customHeight="1">
      <c r="E86" s="6">
        <f t="shared" ref="E86:K86" si="8">SUM(E80:E85)</f>
        <v>3350</v>
      </c>
      <c r="F86" s="6">
        <f t="shared" si="8"/>
        <v>1850</v>
      </c>
      <c r="G86" s="6">
        <f t="shared" si="8"/>
        <v>1250</v>
      </c>
      <c r="H86" s="6">
        <f t="shared" si="8"/>
        <v>0</v>
      </c>
      <c r="I86" s="6">
        <f t="shared" si="8"/>
        <v>0</v>
      </c>
      <c r="J86" s="6">
        <f t="shared" si="8"/>
        <v>2300</v>
      </c>
      <c r="K86" s="6">
        <f t="shared" si="8"/>
        <v>0</v>
      </c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 t="s">
        <v>639</v>
      </c>
    </row>
    <row r="88" ht="15.75" customHeight="1">
      <c r="A88" s="5">
        <v>45763.0</v>
      </c>
      <c r="B88" s="6" t="s">
        <v>640</v>
      </c>
      <c r="C88" s="6" t="s">
        <v>641</v>
      </c>
      <c r="D88" s="6" t="s">
        <v>296</v>
      </c>
      <c r="E88" s="6">
        <v>700.0</v>
      </c>
      <c r="F88" s="6">
        <v>700.0</v>
      </c>
      <c r="G88" s="6">
        <v>0.0</v>
      </c>
      <c r="H88" s="6">
        <v>0.0</v>
      </c>
      <c r="L88" s="6" t="s">
        <v>642</v>
      </c>
    </row>
    <row r="89" ht="15.75" customHeight="1">
      <c r="B89" s="6" t="s">
        <v>526</v>
      </c>
      <c r="C89" s="6" t="s">
        <v>643</v>
      </c>
      <c r="D89" s="6" t="s">
        <v>337</v>
      </c>
      <c r="E89" s="6">
        <v>450.0</v>
      </c>
      <c r="F89" s="6">
        <v>450.0</v>
      </c>
      <c r="G89" s="6">
        <v>0.0</v>
      </c>
      <c r="H89" s="6">
        <v>0.0</v>
      </c>
    </row>
    <row r="90" ht="15.75" customHeight="1">
      <c r="B90" s="6" t="s">
        <v>589</v>
      </c>
      <c r="C90" s="6" t="s">
        <v>644</v>
      </c>
      <c r="D90" s="6" t="s">
        <v>51</v>
      </c>
      <c r="E90" s="6">
        <v>200.0</v>
      </c>
      <c r="F90" s="6">
        <v>0.0</v>
      </c>
      <c r="G90" s="6">
        <v>200.0</v>
      </c>
      <c r="H90" s="6">
        <v>0.0</v>
      </c>
    </row>
    <row r="91" ht="15.75" customHeight="1">
      <c r="B91" s="6" t="s">
        <v>622</v>
      </c>
      <c r="C91" s="6" t="s">
        <v>645</v>
      </c>
      <c r="D91" s="6" t="s">
        <v>51</v>
      </c>
      <c r="E91" s="6">
        <v>900.0</v>
      </c>
      <c r="F91" s="6">
        <v>0.0</v>
      </c>
      <c r="G91" s="6">
        <v>900.0</v>
      </c>
      <c r="H91" s="6">
        <v>0.0</v>
      </c>
    </row>
    <row r="92" ht="15.75" customHeight="1">
      <c r="B92" s="6" t="s">
        <v>311</v>
      </c>
      <c r="C92" s="6" t="s">
        <v>646</v>
      </c>
      <c r="D92" s="6" t="s">
        <v>152</v>
      </c>
      <c r="E92" s="6">
        <v>200.0</v>
      </c>
      <c r="F92" s="6">
        <v>0.0</v>
      </c>
      <c r="G92" s="6">
        <v>200.0</v>
      </c>
      <c r="H92" s="6">
        <v>0.0</v>
      </c>
    </row>
    <row r="93" ht="15.75" customHeight="1">
      <c r="B93" s="6" t="s">
        <v>647</v>
      </c>
      <c r="C93" s="6" t="s">
        <v>648</v>
      </c>
      <c r="D93" s="6" t="s">
        <v>337</v>
      </c>
      <c r="E93" s="6">
        <v>250.0</v>
      </c>
      <c r="F93" s="6">
        <v>0.0</v>
      </c>
      <c r="G93" s="6">
        <v>250.0</v>
      </c>
      <c r="H93" s="6">
        <v>0.0</v>
      </c>
    </row>
    <row r="94" ht="15.75" customHeight="1">
      <c r="B94" s="6" t="s">
        <v>649</v>
      </c>
      <c r="C94" s="6" t="s">
        <v>650</v>
      </c>
      <c r="D94" s="6" t="s">
        <v>651</v>
      </c>
      <c r="E94" s="6">
        <v>450.0</v>
      </c>
      <c r="F94" s="6">
        <v>0.0</v>
      </c>
      <c r="G94" s="6">
        <v>450.0</v>
      </c>
      <c r="H94" s="6">
        <v>0.0</v>
      </c>
    </row>
    <row r="95" ht="15.75" customHeight="1">
      <c r="B95" s="6" t="s">
        <v>652</v>
      </c>
      <c r="C95" s="6" t="s">
        <v>653</v>
      </c>
      <c r="D95" s="6" t="s">
        <v>654</v>
      </c>
      <c r="E95" s="6">
        <v>900.0</v>
      </c>
      <c r="F95" s="6">
        <v>600.0</v>
      </c>
      <c r="G95" s="6">
        <v>300.0</v>
      </c>
      <c r="H95" s="6">
        <v>0.0</v>
      </c>
    </row>
    <row r="96" ht="15.75" customHeight="1">
      <c r="F96" s="6">
        <f t="shared" ref="F96:G96" si="9">SUM(F88:F95)</f>
        <v>1750</v>
      </c>
      <c r="G96" s="6">
        <f t="shared" si="9"/>
        <v>2300</v>
      </c>
    </row>
    <row r="97" ht="15.75" customHeight="1">
      <c r="B97" s="6" t="s">
        <v>655</v>
      </c>
      <c r="C97" s="6" t="s">
        <v>656</v>
      </c>
      <c r="D97" s="6" t="s">
        <v>65</v>
      </c>
      <c r="E97" s="6">
        <v>1500.0</v>
      </c>
      <c r="F97" s="6">
        <v>1500.0</v>
      </c>
      <c r="G97" s="6">
        <v>0.0</v>
      </c>
      <c r="H97" s="6">
        <v>0.0</v>
      </c>
    </row>
    <row r="98" ht="15.75" customHeight="1">
      <c r="E98" s="6">
        <f t="shared" ref="E98:G98" si="10">SUM(E88:E97)</f>
        <v>5550</v>
      </c>
      <c r="F98" s="6">
        <f t="shared" si="10"/>
        <v>5000</v>
      </c>
      <c r="G98" s="6">
        <f t="shared" si="10"/>
        <v>4600</v>
      </c>
      <c r="H98" s="6">
        <v>0.0</v>
      </c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5">
        <v>45768.0</v>
      </c>
      <c r="B101" s="6" t="s">
        <v>471</v>
      </c>
      <c r="C101" s="6" t="s">
        <v>657</v>
      </c>
      <c r="D101" s="6" t="s">
        <v>152</v>
      </c>
      <c r="E101" s="6">
        <v>200.0</v>
      </c>
      <c r="F101" s="6">
        <v>200.0</v>
      </c>
      <c r="G101" s="6">
        <v>0.0</v>
      </c>
      <c r="H101" s="6">
        <v>0.0</v>
      </c>
      <c r="I101" s="6">
        <v>0.0</v>
      </c>
      <c r="J101" s="6">
        <v>200.0</v>
      </c>
      <c r="L101" s="6"/>
    </row>
    <row r="102" ht="15.75" customHeight="1">
      <c r="B102" s="6" t="s">
        <v>469</v>
      </c>
      <c r="C102" s="6" t="s">
        <v>658</v>
      </c>
      <c r="D102" s="6" t="s">
        <v>65</v>
      </c>
      <c r="E102" s="6">
        <v>750.0</v>
      </c>
      <c r="F102" s="6">
        <v>0.0</v>
      </c>
      <c r="G102" s="6">
        <v>750.0</v>
      </c>
      <c r="H102" s="6">
        <v>0.0</v>
      </c>
      <c r="I102" s="6">
        <v>0.0</v>
      </c>
      <c r="J102" s="6">
        <v>750.0</v>
      </c>
      <c r="L102" s="6"/>
    </row>
    <row r="103" ht="15.75" customHeight="1">
      <c r="E103" s="6">
        <f t="shared" ref="E103:G103" si="11">SUM(E101:E102)</f>
        <v>950</v>
      </c>
      <c r="F103" s="6">
        <f t="shared" si="11"/>
        <v>200</v>
      </c>
      <c r="G103" s="6">
        <f t="shared" si="11"/>
        <v>750</v>
      </c>
      <c r="J103" s="6">
        <f>SUM(J101:J102)</f>
        <v>950</v>
      </c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5">
        <v>45769.0</v>
      </c>
      <c r="B105" s="6" t="s">
        <v>659</v>
      </c>
      <c r="C105" s="6" t="s">
        <v>660</v>
      </c>
      <c r="D105" s="6" t="s">
        <v>661</v>
      </c>
      <c r="E105" s="6">
        <v>350.0</v>
      </c>
      <c r="F105" s="6">
        <v>0.0</v>
      </c>
      <c r="G105" s="6">
        <v>350.0</v>
      </c>
      <c r="H105" s="6">
        <v>0.0</v>
      </c>
      <c r="I105" s="6">
        <v>0.0</v>
      </c>
      <c r="J105" s="6">
        <v>350.0</v>
      </c>
      <c r="L105" s="6"/>
    </row>
    <row r="106" ht="15.75" customHeight="1">
      <c r="B106" s="6" t="s">
        <v>662</v>
      </c>
      <c r="C106" s="6" t="s">
        <v>663</v>
      </c>
      <c r="D106" s="6" t="s">
        <v>51</v>
      </c>
      <c r="E106" s="6">
        <v>300.0</v>
      </c>
      <c r="F106" s="6">
        <v>300.0</v>
      </c>
      <c r="G106" s="6">
        <v>0.0</v>
      </c>
      <c r="H106" s="6">
        <v>0.0</v>
      </c>
      <c r="I106" s="6">
        <v>0.0</v>
      </c>
      <c r="J106" s="6">
        <v>300.0</v>
      </c>
      <c r="L106" s="6"/>
    </row>
    <row r="107" ht="15.75" customHeight="1">
      <c r="B107" s="6" t="s">
        <v>664</v>
      </c>
      <c r="C107" s="6" t="s">
        <v>665</v>
      </c>
      <c r="D107" s="6" t="s">
        <v>666</v>
      </c>
      <c r="E107" s="6">
        <v>900.0</v>
      </c>
      <c r="F107" s="6">
        <v>0.0</v>
      </c>
      <c r="G107" s="6">
        <v>900.0</v>
      </c>
      <c r="H107" s="6">
        <v>0.0</v>
      </c>
      <c r="I107" s="6">
        <v>0.0</v>
      </c>
      <c r="J107" s="6">
        <v>900.0</v>
      </c>
      <c r="L107" s="6"/>
    </row>
    <row r="108" ht="15.75" customHeight="1">
      <c r="B108" s="6" t="s">
        <v>667</v>
      </c>
      <c r="C108" s="6" t="s">
        <v>668</v>
      </c>
      <c r="D108" s="6" t="s">
        <v>669</v>
      </c>
      <c r="E108" s="6">
        <v>550.0</v>
      </c>
      <c r="F108" s="6">
        <v>0.0</v>
      </c>
      <c r="G108" s="6">
        <v>550.0</v>
      </c>
      <c r="H108" s="6">
        <v>0.0</v>
      </c>
      <c r="I108" s="6">
        <v>0.0</v>
      </c>
      <c r="J108" s="6">
        <v>550.0</v>
      </c>
      <c r="L108" s="6"/>
    </row>
    <row r="109" ht="15.75" customHeight="1">
      <c r="B109" s="6" t="s">
        <v>484</v>
      </c>
      <c r="C109" s="6" t="s">
        <v>670</v>
      </c>
      <c r="E109" s="6">
        <v>1100.0</v>
      </c>
      <c r="F109" s="6">
        <v>0.0</v>
      </c>
      <c r="G109" s="6">
        <v>1100.0</v>
      </c>
      <c r="H109" s="6">
        <v>0.0</v>
      </c>
      <c r="I109" s="6">
        <v>0.0</v>
      </c>
      <c r="J109" s="6">
        <v>1100.0</v>
      </c>
      <c r="L109" s="6" t="s">
        <v>671</v>
      </c>
      <c r="M109" s="6">
        <v>900.0</v>
      </c>
    </row>
    <row r="110" ht="15.75" customHeight="1">
      <c r="E110" s="6">
        <f t="shared" ref="E110:G110" si="12">SUM(E105:E109)</f>
        <v>3200</v>
      </c>
      <c r="F110" s="6">
        <f t="shared" si="12"/>
        <v>300</v>
      </c>
      <c r="G110" s="6">
        <f t="shared" si="12"/>
        <v>2900</v>
      </c>
      <c r="J110" s="6">
        <f>SUM(J105:J109)</f>
        <v>3200</v>
      </c>
      <c r="L110" s="6" t="s">
        <v>672</v>
      </c>
    </row>
    <row r="111" ht="15.75" customHeight="1">
      <c r="L111" s="6" t="s">
        <v>673</v>
      </c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5">
        <v>45770.0</v>
      </c>
      <c r="B113" s="17" t="s">
        <v>674</v>
      </c>
      <c r="C113" s="6" t="s">
        <v>675</v>
      </c>
      <c r="D113" s="6" t="s">
        <v>152</v>
      </c>
      <c r="E113" s="6">
        <v>600.0</v>
      </c>
      <c r="F113" s="6">
        <v>0.0</v>
      </c>
      <c r="G113" s="6">
        <v>600.0</v>
      </c>
      <c r="H113" s="6">
        <v>0.0</v>
      </c>
      <c r="I113" s="6">
        <v>0.0</v>
      </c>
      <c r="J113" s="6">
        <v>600.0</v>
      </c>
      <c r="L113" s="6"/>
    </row>
    <row r="114" ht="15.75" customHeight="1">
      <c r="B114" s="6" t="s">
        <v>676</v>
      </c>
      <c r="C114" s="6" t="s">
        <v>677</v>
      </c>
      <c r="D114" s="6" t="s">
        <v>678</v>
      </c>
      <c r="E114" s="6">
        <v>500.0</v>
      </c>
      <c r="F114" s="6">
        <v>500.0</v>
      </c>
      <c r="G114" s="6">
        <v>0.0</v>
      </c>
      <c r="H114" s="6">
        <v>0.0</v>
      </c>
      <c r="I114" s="6">
        <v>0.0</v>
      </c>
      <c r="J114" s="6">
        <v>500.0</v>
      </c>
      <c r="L114" s="6"/>
    </row>
    <row r="115" ht="15.75" customHeight="1">
      <c r="B115" s="6" t="s">
        <v>317</v>
      </c>
      <c r="C115" s="6" t="s">
        <v>679</v>
      </c>
      <c r="D115" s="6" t="s">
        <v>291</v>
      </c>
      <c r="E115" s="6">
        <v>100.0</v>
      </c>
      <c r="F115" s="6">
        <v>100.0</v>
      </c>
      <c r="G115" s="6">
        <v>0.0</v>
      </c>
      <c r="H115" s="6">
        <v>0.0</v>
      </c>
      <c r="I115" s="6">
        <v>0.0</v>
      </c>
      <c r="J115" s="6">
        <v>100.0</v>
      </c>
      <c r="L115" s="6"/>
    </row>
    <row r="116" ht="15.75" customHeight="1">
      <c r="B116" s="6" t="s">
        <v>680</v>
      </c>
      <c r="C116" s="6" t="s">
        <v>681</v>
      </c>
      <c r="D116" s="6" t="s">
        <v>65</v>
      </c>
      <c r="E116" s="6">
        <v>50.0</v>
      </c>
      <c r="F116" s="6">
        <v>0.0</v>
      </c>
      <c r="G116" s="6">
        <v>0.0</v>
      </c>
      <c r="H116" s="6">
        <v>50.0</v>
      </c>
      <c r="I116" s="6">
        <v>0.0</v>
      </c>
      <c r="J116" s="6">
        <v>50.0</v>
      </c>
      <c r="L116" s="6"/>
    </row>
    <row r="117" ht="15.75" customHeight="1">
      <c r="E117" s="6">
        <f t="shared" ref="E117:J117" si="13">SUM(E113:E116)</f>
        <v>1250</v>
      </c>
      <c r="F117" s="6">
        <f t="shared" si="13"/>
        <v>600</v>
      </c>
      <c r="G117" s="6">
        <f t="shared" si="13"/>
        <v>600</v>
      </c>
      <c r="H117" s="6">
        <f t="shared" si="13"/>
        <v>50</v>
      </c>
      <c r="I117" s="6">
        <f t="shared" si="13"/>
        <v>0</v>
      </c>
      <c r="J117" s="6">
        <f t="shared" si="13"/>
        <v>1250</v>
      </c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5">
        <v>45771.0</v>
      </c>
      <c r="B119" s="6" t="s">
        <v>682</v>
      </c>
      <c r="C119" s="6" t="s">
        <v>683</v>
      </c>
      <c r="D119" s="6" t="s">
        <v>337</v>
      </c>
      <c r="E119" s="6">
        <v>600.0</v>
      </c>
      <c r="F119" s="6">
        <v>600.0</v>
      </c>
      <c r="G119" s="6">
        <v>0.0</v>
      </c>
      <c r="H119" s="6">
        <v>0.0</v>
      </c>
      <c r="I119" s="6">
        <v>0.0</v>
      </c>
      <c r="J119" s="6">
        <v>600.0</v>
      </c>
    </row>
    <row r="120" ht="15.75" customHeight="1">
      <c r="B120" s="6" t="s">
        <v>347</v>
      </c>
      <c r="C120" s="6" t="s">
        <v>684</v>
      </c>
      <c r="D120" s="6" t="s">
        <v>685</v>
      </c>
      <c r="E120" s="6">
        <v>1030.0</v>
      </c>
      <c r="F120" s="6">
        <v>30.0</v>
      </c>
      <c r="G120" s="6">
        <v>1000.0</v>
      </c>
      <c r="H120" s="6">
        <v>0.0</v>
      </c>
      <c r="I120" s="6">
        <v>0.0</v>
      </c>
      <c r="J120" s="6">
        <v>1000.0</v>
      </c>
      <c r="K120" s="6">
        <v>30.0</v>
      </c>
      <c r="L120" s="6">
        <v>30.0</v>
      </c>
    </row>
    <row r="121" ht="15.75" customHeight="1">
      <c r="B121" s="6" t="s">
        <v>587</v>
      </c>
      <c r="C121" s="6" t="s">
        <v>686</v>
      </c>
      <c r="E121" s="6">
        <v>250.0</v>
      </c>
      <c r="F121" s="6">
        <v>0.0</v>
      </c>
      <c r="G121" s="6">
        <v>0.0</v>
      </c>
      <c r="H121" s="6">
        <v>250.0</v>
      </c>
      <c r="I121" s="6">
        <v>0.0</v>
      </c>
      <c r="J121" s="6">
        <v>250.0</v>
      </c>
      <c r="L121" s="6">
        <v>0.0</v>
      </c>
    </row>
    <row r="122" ht="15.75" customHeight="1">
      <c r="E122" s="6">
        <f t="shared" ref="E122:H122" si="14">SUM(E119:E121)</f>
        <v>1880</v>
      </c>
      <c r="F122" s="6">
        <f t="shared" si="14"/>
        <v>630</v>
      </c>
      <c r="G122" s="6">
        <f t="shared" si="14"/>
        <v>1000</v>
      </c>
      <c r="H122" s="6">
        <f t="shared" si="14"/>
        <v>250</v>
      </c>
      <c r="J122" s="6">
        <f>SUM(J119:J121)</f>
        <v>1850</v>
      </c>
      <c r="K122" s="6">
        <v>30.0</v>
      </c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5">
        <v>45775.0</v>
      </c>
      <c r="B125" s="6" t="s">
        <v>687</v>
      </c>
      <c r="C125" s="6" t="s">
        <v>688</v>
      </c>
      <c r="D125" s="6" t="s">
        <v>51</v>
      </c>
      <c r="E125" s="6">
        <v>300.0</v>
      </c>
      <c r="F125" s="6">
        <v>300.0</v>
      </c>
      <c r="G125" s="6">
        <v>0.0</v>
      </c>
      <c r="H125" s="6">
        <v>0.0</v>
      </c>
      <c r="I125" s="6">
        <v>0.0</v>
      </c>
      <c r="J125" s="6">
        <v>300.0</v>
      </c>
      <c r="L125" s="6"/>
    </row>
    <row r="126" ht="15.75" customHeight="1">
      <c r="B126" s="6" t="s">
        <v>689</v>
      </c>
      <c r="C126" s="6" t="s">
        <v>690</v>
      </c>
      <c r="D126" s="6" t="s">
        <v>152</v>
      </c>
      <c r="E126" s="6">
        <v>450.0</v>
      </c>
      <c r="F126" s="6">
        <v>0.0</v>
      </c>
      <c r="G126" s="6">
        <v>0.0</v>
      </c>
      <c r="H126" s="6">
        <v>450.0</v>
      </c>
      <c r="I126" s="6">
        <v>0.0</v>
      </c>
      <c r="J126" s="6">
        <v>450.0</v>
      </c>
      <c r="L126" s="6"/>
    </row>
    <row r="127" ht="15.75" customHeight="1">
      <c r="B127" s="6" t="s">
        <v>691</v>
      </c>
      <c r="C127" s="6" t="s">
        <v>692</v>
      </c>
      <c r="D127" s="6" t="s">
        <v>431</v>
      </c>
      <c r="E127" s="6">
        <v>80.0</v>
      </c>
      <c r="F127" s="6">
        <v>0.0</v>
      </c>
      <c r="G127" s="6">
        <v>0.0</v>
      </c>
      <c r="H127" s="6">
        <v>80.0</v>
      </c>
      <c r="I127" s="6">
        <v>0.0</v>
      </c>
      <c r="J127" s="6">
        <v>80.0</v>
      </c>
      <c r="L127" s="6"/>
    </row>
    <row r="128" ht="15.75" customHeight="1">
      <c r="E128" s="6">
        <f t="shared" ref="E128:J128" si="15">SUM(E125:E127)</f>
        <v>830</v>
      </c>
      <c r="F128" s="6">
        <f t="shared" si="15"/>
        <v>300</v>
      </c>
      <c r="G128" s="6">
        <f t="shared" si="15"/>
        <v>0</v>
      </c>
      <c r="H128" s="6">
        <f t="shared" si="15"/>
        <v>530</v>
      </c>
      <c r="I128" s="6">
        <f t="shared" si="15"/>
        <v>0</v>
      </c>
      <c r="J128" s="6">
        <f t="shared" si="15"/>
        <v>830</v>
      </c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5">
        <v>45776.0</v>
      </c>
      <c r="B130" s="6" t="s">
        <v>693</v>
      </c>
      <c r="C130" s="6" t="s">
        <v>694</v>
      </c>
      <c r="D130" s="6" t="s">
        <v>431</v>
      </c>
      <c r="E130" s="6">
        <v>400.0</v>
      </c>
      <c r="F130" s="6">
        <v>0.0</v>
      </c>
      <c r="G130" s="6">
        <v>400.0</v>
      </c>
      <c r="H130" s="6">
        <v>0.0</v>
      </c>
      <c r="I130" s="6">
        <v>0.0</v>
      </c>
      <c r="J130" s="6">
        <v>400.0</v>
      </c>
      <c r="L130" s="6"/>
    </row>
    <row r="131" ht="15.75" customHeight="1">
      <c r="B131" s="6" t="s">
        <v>695</v>
      </c>
      <c r="C131" s="6" t="s">
        <v>696</v>
      </c>
      <c r="D131" s="6" t="s">
        <v>51</v>
      </c>
      <c r="E131" s="6">
        <v>300.0</v>
      </c>
      <c r="F131" s="6">
        <v>150.0</v>
      </c>
      <c r="G131" s="6">
        <v>150.0</v>
      </c>
      <c r="H131" s="6">
        <v>0.0</v>
      </c>
      <c r="I131" s="6">
        <v>0.0</v>
      </c>
      <c r="J131" s="6">
        <v>300.0</v>
      </c>
      <c r="L131" s="6"/>
    </row>
    <row r="132" ht="15.75" customHeight="1">
      <c r="E132" s="6">
        <f t="shared" ref="E132:J132" si="16">SUM(E130:E131)</f>
        <v>700</v>
      </c>
      <c r="F132" s="6">
        <f t="shared" si="16"/>
        <v>150</v>
      </c>
      <c r="G132" s="6">
        <f t="shared" si="16"/>
        <v>550</v>
      </c>
      <c r="H132" s="6">
        <f t="shared" si="16"/>
        <v>0</v>
      </c>
      <c r="I132" s="6">
        <f t="shared" si="16"/>
        <v>0</v>
      </c>
      <c r="J132" s="6">
        <f t="shared" si="16"/>
        <v>700</v>
      </c>
      <c r="L132" s="6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2"/>
      <c r="L133" s="7"/>
    </row>
    <row r="134" ht="15.75" customHeight="1">
      <c r="A134" s="5" t="s">
        <v>697</v>
      </c>
      <c r="B134" s="6" t="s">
        <v>698</v>
      </c>
      <c r="C134" s="6" t="s">
        <v>699</v>
      </c>
      <c r="D134" s="6" t="s">
        <v>296</v>
      </c>
      <c r="E134" s="6">
        <v>500.0</v>
      </c>
      <c r="F134" s="6">
        <v>0.0</v>
      </c>
      <c r="G134" s="6">
        <v>500.0</v>
      </c>
      <c r="H134" s="6">
        <v>0.0</v>
      </c>
      <c r="I134" s="6">
        <v>0.0</v>
      </c>
      <c r="J134" s="6">
        <v>500.0</v>
      </c>
      <c r="L134" s="6"/>
    </row>
    <row r="135" ht="15.75" customHeight="1">
      <c r="B135" s="6" t="s">
        <v>700</v>
      </c>
      <c r="C135" s="6" t="s">
        <v>701</v>
      </c>
      <c r="D135" s="6" t="s">
        <v>337</v>
      </c>
      <c r="E135" s="6">
        <v>200.0</v>
      </c>
      <c r="F135" s="6">
        <v>0.0</v>
      </c>
      <c r="G135" s="6">
        <v>200.0</v>
      </c>
      <c r="H135" s="6">
        <v>0.0</v>
      </c>
      <c r="I135" s="6">
        <v>0.0</v>
      </c>
      <c r="J135" s="6">
        <v>200.0</v>
      </c>
      <c r="L135" s="6"/>
    </row>
    <row r="136" ht="15.75" customHeight="1">
      <c r="B136" s="6" t="s">
        <v>702</v>
      </c>
      <c r="C136" s="6" t="s">
        <v>703</v>
      </c>
      <c r="D136" s="6" t="s">
        <v>544</v>
      </c>
      <c r="E136" s="6">
        <v>100.0</v>
      </c>
      <c r="F136" s="6">
        <v>100.0</v>
      </c>
      <c r="G136" s="6">
        <v>0.0</v>
      </c>
      <c r="H136" s="6">
        <v>0.0</v>
      </c>
      <c r="I136" s="6">
        <v>0.0</v>
      </c>
      <c r="J136" s="6">
        <v>100.0</v>
      </c>
      <c r="L136" s="6"/>
    </row>
    <row r="137" ht="15.75" customHeight="1">
      <c r="B137" s="6" t="s">
        <v>471</v>
      </c>
      <c r="C137" s="6" t="s">
        <v>582</v>
      </c>
      <c r="D137" s="6" t="s">
        <v>51</v>
      </c>
      <c r="E137" s="6">
        <v>300.0</v>
      </c>
      <c r="F137" s="6">
        <v>300.0</v>
      </c>
      <c r="G137" s="6">
        <v>0.0</v>
      </c>
      <c r="H137" s="6">
        <v>0.0</v>
      </c>
      <c r="I137" s="6">
        <v>0.0</v>
      </c>
      <c r="J137" s="6">
        <v>300.0</v>
      </c>
      <c r="L137" s="6"/>
    </row>
    <row r="138" ht="15.75" customHeight="1">
      <c r="B138" s="6" t="s">
        <v>704</v>
      </c>
      <c r="C138" s="6" t="s">
        <v>705</v>
      </c>
      <c r="D138" s="6" t="s">
        <v>706</v>
      </c>
      <c r="E138" s="6">
        <v>1050.0</v>
      </c>
      <c r="F138" s="6">
        <v>0.0</v>
      </c>
      <c r="G138" s="6">
        <v>1050.0</v>
      </c>
      <c r="H138" s="6">
        <v>0.0</v>
      </c>
      <c r="I138" s="6">
        <v>0.0</v>
      </c>
      <c r="J138" s="6">
        <v>1050.0</v>
      </c>
      <c r="L138" s="6"/>
    </row>
    <row r="139" ht="15.75" customHeight="1">
      <c r="B139" s="6" t="s">
        <v>707</v>
      </c>
      <c r="C139" s="6" t="s">
        <v>708</v>
      </c>
      <c r="D139" s="6" t="s">
        <v>388</v>
      </c>
      <c r="E139" s="6">
        <v>200.0</v>
      </c>
      <c r="F139" s="6">
        <v>200.0</v>
      </c>
      <c r="G139" s="6">
        <v>0.0</v>
      </c>
      <c r="H139" s="6">
        <v>0.0</v>
      </c>
      <c r="I139" s="6">
        <v>0.0</v>
      </c>
      <c r="J139" s="6">
        <v>200.0</v>
      </c>
      <c r="L139" s="6"/>
    </row>
    <row r="140" ht="15.75" customHeight="1">
      <c r="B140" s="6" t="s">
        <v>709</v>
      </c>
      <c r="C140" s="6" t="s">
        <v>710</v>
      </c>
      <c r="D140" s="6" t="s">
        <v>711</v>
      </c>
      <c r="E140" s="6">
        <v>200.0</v>
      </c>
      <c r="F140" s="6">
        <v>0.0</v>
      </c>
      <c r="G140" s="6">
        <v>200.0</v>
      </c>
      <c r="H140" s="6">
        <v>0.0</v>
      </c>
      <c r="I140" s="6">
        <v>0.0</v>
      </c>
      <c r="J140" s="6">
        <v>200.0</v>
      </c>
      <c r="L140" s="6"/>
    </row>
    <row r="141" ht="15.75" customHeight="1">
      <c r="B141" s="6" t="s">
        <v>712</v>
      </c>
      <c r="C141" s="6" t="s">
        <v>713</v>
      </c>
      <c r="D141" s="6" t="s">
        <v>51</v>
      </c>
      <c r="E141" s="6">
        <v>300.0</v>
      </c>
      <c r="F141" s="6">
        <v>300.0</v>
      </c>
      <c r="G141" s="6">
        <v>0.0</v>
      </c>
      <c r="H141" s="6">
        <v>0.0</v>
      </c>
      <c r="I141" s="6">
        <v>0.0</v>
      </c>
      <c r="J141" s="6">
        <v>300.0</v>
      </c>
      <c r="L141" s="6"/>
    </row>
    <row r="142" ht="15.75" customHeight="1">
      <c r="B142" s="6" t="s">
        <v>714</v>
      </c>
      <c r="C142" s="6" t="s">
        <v>423</v>
      </c>
      <c r="D142" s="6" t="s">
        <v>65</v>
      </c>
      <c r="E142" s="6">
        <v>50.0</v>
      </c>
      <c r="F142" s="6">
        <v>0.0</v>
      </c>
      <c r="G142" s="6">
        <v>0.0</v>
      </c>
      <c r="H142" s="6">
        <v>50.0</v>
      </c>
      <c r="I142" s="6">
        <v>0.0</v>
      </c>
      <c r="J142" s="6">
        <v>50.0</v>
      </c>
      <c r="L142" s="6"/>
    </row>
    <row r="143" ht="15.75" customHeight="1">
      <c r="E143" s="6">
        <f t="shared" ref="E143:G143" si="17">SUM(E134:E142)</f>
        <v>2900</v>
      </c>
      <c r="F143" s="6">
        <f t="shared" si="17"/>
        <v>900</v>
      </c>
      <c r="G143" s="6">
        <f t="shared" si="17"/>
        <v>1950</v>
      </c>
      <c r="H143" s="6">
        <v>50.0</v>
      </c>
      <c r="I143" s="6">
        <v>0.0</v>
      </c>
      <c r="J143" s="6">
        <f>SUM(J134:J142)</f>
        <v>2900</v>
      </c>
      <c r="L143" s="6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 t="s">
        <v>715</v>
      </c>
      <c r="O144" s="18"/>
      <c r="P144" s="18" t="s">
        <v>716</v>
      </c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O145" s="19"/>
      <c r="P145" s="19"/>
      <c r="Q145" s="19"/>
      <c r="R145" s="19"/>
      <c r="S145" s="19"/>
      <c r="T145" s="19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O146" s="19"/>
      <c r="P146" s="19" t="s">
        <v>717</v>
      </c>
      <c r="Q146" s="19" t="s">
        <v>718</v>
      </c>
      <c r="R146" s="19" t="s">
        <v>719</v>
      </c>
      <c r="S146" s="19" t="s">
        <v>720</v>
      </c>
      <c r="T146" s="19"/>
    </row>
    <row r="147" ht="15.75" customHeight="1">
      <c r="A147" s="5">
        <v>45783.0</v>
      </c>
      <c r="B147" s="6" t="s">
        <v>721</v>
      </c>
      <c r="C147" s="6" t="s">
        <v>722</v>
      </c>
      <c r="D147" s="6" t="s">
        <v>723</v>
      </c>
      <c r="E147" s="6">
        <v>2100.0</v>
      </c>
      <c r="F147" s="6">
        <v>2100.0</v>
      </c>
      <c r="G147" s="6">
        <v>0.0</v>
      </c>
      <c r="H147" s="6">
        <v>0.0</v>
      </c>
      <c r="I147" s="6">
        <v>0.0</v>
      </c>
      <c r="J147" s="6">
        <v>0.0</v>
      </c>
      <c r="K147" s="6">
        <v>2100.0</v>
      </c>
      <c r="L147" s="6"/>
      <c r="M147" s="6"/>
      <c r="N147" s="6"/>
      <c r="O147" s="6"/>
      <c r="P147" s="6">
        <v>2100.0</v>
      </c>
      <c r="Q147" s="6">
        <v>2100.0</v>
      </c>
      <c r="R147" s="6">
        <v>0.0</v>
      </c>
      <c r="S147" s="6">
        <v>0.0</v>
      </c>
    </row>
    <row r="148" ht="15.75" customHeight="1">
      <c r="L148" s="6"/>
      <c r="N148" s="6"/>
      <c r="P148" s="6">
        <v>3000.0</v>
      </c>
      <c r="Q148" s="6">
        <v>750.0</v>
      </c>
      <c r="R148" s="6">
        <v>2225.0</v>
      </c>
      <c r="S148" s="6">
        <v>0.0</v>
      </c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 t="s">
        <v>724</v>
      </c>
      <c r="M149" s="7"/>
      <c r="N149" s="7"/>
      <c r="P149" s="6">
        <v>1225.0</v>
      </c>
      <c r="Q149" s="6">
        <v>1225.0</v>
      </c>
      <c r="R149" s="6">
        <v>0.0</v>
      </c>
      <c r="S149" s="6">
        <v>0.0</v>
      </c>
    </row>
    <row r="150" ht="15.75" customHeight="1">
      <c r="A150" s="5">
        <v>45784.0</v>
      </c>
      <c r="B150" s="6" t="s">
        <v>725</v>
      </c>
      <c r="C150" s="6" t="s">
        <v>726</v>
      </c>
      <c r="D150" s="6" t="s">
        <v>51</v>
      </c>
      <c r="E150" s="6">
        <v>300.0</v>
      </c>
      <c r="F150" s="6">
        <v>300.0</v>
      </c>
      <c r="G150" s="6">
        <v>0.0</v>
      </c>
      <c r="H150" s="6">
        <v>0.0</v>
      </c>
      <c r="I150" s="6">
        <v>0.0</v>
      </c>
      <c r="J150" s="6">
        <v>300.0</v>
      </c>
      <c r="K150" s="6">
        <v>0.0</v>
      </c>
      <c r="L150" s="6"/>
      <c r="P150" s="6">
        <v>970.0</v>
      </c>
      <c r="Q150" s="6">
        <v>200.0</v>
      </c>
      <c r="R150" s="6">
        <v>770.0</v>
      </c>
      <c r="S150" s="6">
        <v>0.0</v>
      </c>
    </row>
    <row r="151" ht="15.75" customHeight="1">
      <c r="B151" s="6" t="s">
        <v>347</v>
      </c>
      <c r="C151" s="6" t="s">
        <v>727</v>
      </c>
      <c r="D151" s="6" t="s">
        <v>152</v>
      </c>
      <c r="E151" s="6">
        <v>225.0</v>
      </c>
      <c r="F151" s="6">
        <v>0.0</v>
      </c>
      <c r="G151" s="6">
        <v>225.0</v>
      </c>
      <c r="H151" s="6">
        <v>225.0</v>
      </c>
      <c r="I151" s="6">
        <v>225.0</v>
      </c>
      <c r="J151" s="6">
        <v>225.0</v>
      </c>
      <c r="K151" s="6">
        <v>0.0</v>
      </c>
      <c r="P151" s="6">
        <v>3770.0</v>
      </c>
      <c r="Q151" s="6">
        <v>1100.0</v>
      </c>
      <c r="R151" s="6">
        <v>2670.0</v>
      </c>
      <c r="S151" s="6">
        <v>0.0</v>
      </c>
    </row>
    <row r="152" ht="15.75" customHeight="1">
      <c r="B152" s="6" t="s">
        <v>542</v>
      </c>
      <c r="C152" s="6" t="s">
        <v>728</v>
      </c>
      <c r="D152" s="6" t="s">
        <v>729</v>
      </c>
      <c r="E152" s="6">
        <v>600.0</v>
      </c>
      <c r="F152" s="6">
        <v>0.0</v>
      </c>
      <c r="G152" s="6">
        <v>600.0</v>
      </c>
      <c r="H152" s="6">
        <v>0.0</v>
      </c>
      <c r="I152" s="6">
        <v>0.0</v>
      </c>
      <c r="J152" s="6">
        <v>500.0</v>
      </c>
      <c r="K152" s="6">
        <v>0.0</v>
      </c>
      <c r="P152" s="6">
        <v>1350.0</v>
      </c>
      <c r="Q152" s="6">
        <v>200.0</v>
      </c>
      <c r="R152" s="6">
        <v>1100.0</v>
      </c>
      <c r="S152" s="6">
        <v>50.0</v>
      </c>
    </row>
    <row r="153" ht="15.75" customHeight="1">
      <c r="B153" s="6" t="s">
        <v>572</v>
      </c>
      <c r="C153" s="6" t="s">
        <v>730</v>
      </c>
      <c r="D153" s="6" t="s">
        <v>731</v>
      </c>
      <c r="E153" s="6">
        <v>225.0</v>
      </c>
      <c r="F153" s="6">
        <v>0.0</v>
      </c>
      <c r="G153" s="6">
        <v>200.0</v>
      </c>
      <c r="H153" s="6">
        <v>0.0</v>
      </c>
      <c r="I153" s="6">
        <v>0.0</v>
      </c>
      <c r="J153" s="6">
        <v>225.0</v>
      </c>
      <c r="K153" s="6">
        <v>5.0</v>
      </c>
      <c r="P153" s="6">
        <v>1100.0</v>
      </c>
      <c r="Q153" s="6">
        <v>500.0</v>
      </c>
      <c r="R153" s="6">
        <v>500.0</v>
      </c>
      <c r="S153" s="6">
        <v>100.0</v>
      </c>
    </row>
    <row r="154" ht="15.75" customHeight="1">
      <c r="B154" s="6" t="s">
        <v>732</v>
      </c>
      <c r="C154" s="6" t="s">
        <v>733</v>
      </c>
      <c r="D154" s="6" t="s">
        <v>734</v>
      </c>
      <c r="E154" s="6">
        <v>750.0</v>
      </c>
      <c r="F154" s="6">
        <v>250.0</v>
      </c>
      <c r="G154" s="6">
        <v>500.0</v>
      </c>
      <c r="H154" s="6">
        <v>0.0</v>
      </c>
      <c r="I154" s="6">
        <v>0.0</v>
      </c>
      <c r="J154" s="6">
        <v>750.0</v>
      </c>
      <c r="K154" s="6">
        <v>0.0</v>
      </c>
      <c r="P154" s="6">
        <v>2285.0</v>
      </c>
      <c r="Q154" s="6">
        <v>1685.0</v>
      </c>
      <c r="R154" s="6">
        <v>600.0</v>
      </c>
      <c r="S154" s="6">
        <v>0.0</v>
      </c>
    </row>
    <row r="155" ht="15.75" customHeight="1">
      <c r="B155" s="21" t="s">
        <v>622</v>
      </c>
      <c r="C155" s="6" t="s">
        <v>735</v>
      </c>
      <c r="D155" s="6" t="s">
        <v>711</v>
      </c>
      <c r="E155" s="6">
        <v>100.0</v>
      </c>
      <c r="F155" s="6">
        <v>0.0</v>
      </c>
      <c r="G155" s="6">
        <v>100.0</v>
      </c>
      <c r="H155" s="6">
        <v>0.0</v>
      </c>
      <c r="I155" s="6">
        <v>0.0</v>
      </c>
      <c r="J155" s="6">
        <v>100.0</v>
      </c>
      <c r="K155" s="6">
        <v>0.0</v>
      </c>
      <c r="P155" s="6">
        <v>2745.0</v>
      </c>
      <c r="Q155" s="6">
        <v>500.0</v>
      </c>
      <c r="R155" s="6">
        <v>2245.0</v>
      </c>
      <c r="S155" s="6">
        <v>0.0</v>
      </c>
    </row>
    <row r="156" ht="15.75" customHeight="1">
      <c r="B156" s="17" t="s">
        <v>736</v>
      </c>
      <c r="C156" s="6" t="s">
        <v>737</v>
      </c>
      <c r="D156" s="6" t="s">
        <v>563</v>
      </c>
      <c r="E156" s="6">
        <v>350.0</v>
      </c>
      <c r="F156" s="6">
        <v>0.0</v>
      </c>
      <c r="G156" s="6">
        <v>350.0</v>
      </c>
      <c r="H156" s="6">
        <v>0.0</v>
      </c>
      <c r="I156" s="6">
        <v>0.0</v>
      </c>
      <c r="J156" s="6">
        <v>350.0</v>
      </c>
      <c r="K156" s="6">
        <v>0.0</v>
      </c>
    </row>
    <row r="157" ht="15.75" customHeight="1">
      <c r="B157" s="6" t="s">
        <v>74</v>
      </c>
      <c r="C157" s="6" t="s">
        <v>738</v>
      </c>
      <c r="D157" s="6" t="s">
        <v>280</v>
      </c>
      <c r="E157" s="6">
        <v>150.0</v>
      </c>
      <c r="F157" s="6">
        <v>150.0</v>
      </c>
      <c r="G157" s="6">
        <v>0.0</v>
      </c>
      <c r="H157" s="6">
        <v>0.0</v>
      </c>
      <c r="I157" s="6">
        <v>0.0</v>
      </c>
      <c r="J157" s="6">
        <v>150.0</v>
      </c>
      <c r="K157" s="6">
        <v>0.0</v>
      </c>
    </row>
    <row r="158" ht="15.75" customHeight="1">
      <c r="B158" s="6" t="s">
        <v>739</v>
      </c>
      <c r="C158" s="6" t="s">
        <v>740</v>
      </c>
      <c r="D158" s="6" t="s">
        <v>270</v>
      </c>
      <c r="E158" s="6">
        <v>250.0</v>
      </c>
      <c r="F158" s="6">
        <v>0.0</v>
      </c>
      <c r="G158" s="6">
        <v>250.0</v>
      </c>
      <c r="H158" s="6">
        <v>0.0</v>
      </c>
      <c r="I158" s="6">
        <v>0.0</v>
      </c>
      <c r="J158" s="6">
        <v>250.0</v>
      </c>
      <c r="K158" s="6">
        <v>0.0</v>
      </c>
    </row>
    <row r="159" ht="15.75" customHeight="1">
      <c r="B159" s="6" t="s">
        <v>741</v>
      </c>
      <c r="C159" s="6" t="s">
        <v>742</v>
      </c>
      <c r="D159" s="6" t="s">
        <v>743</v>
      </c>
      <c r="E159" s="6">
        <v>50.0</v>
      </c>
      <c r="F159" s="6">
        <v>50.0</v>
      </c>
      <c r="G159" s="6">
        <v>0.0</v>
      </c>
      <c r="H159" s="6">
        <v>0.0</v>
      </c>
      <c r="I159" s="6">
        <v>0.0</v>
      </c>
      <c r="J159" s="6">
        <v>0.0</v>
      </c>
      <c r="K159" s="6">
        <v>50.0</v>
      </c>
    </row>
    <row r="160" ht="15.75" customHeight="1">
      <c r="E160" s="6">
        <f t="shared" ref="E160:G160" si="18">SUM(E150:E159)</f>
        <v>3000</v>
      </c>
      <c r="F160" s="6">
        <f t="shared" si="18"/>
        <v>750</v>
      </c>
      <c r="G160" s="6">
        <f t="shared" si="18"/>
        <v>2225</v>
      </c>
    </row>
    <row r="161" ht="15.75" customHeight="1">
      <c r="A161" s="10">
        <v>45785.0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 t="s">
        <v>744</v>
      </c>
      <c r="M161" s="7"/>
      <c r="N161" s="7"/>
    </row>
    <row r="162" ht="15.75" customHeight="1">
      <c r="A162" s="5">
        <v>45789.0</v>
      </c>
      <c r="B162" s="6" t="s">
        <v>640</v>
      </c>
      <c r="C162" s="6" t="s">
        <v>745</v>
      </c>
      <c r="D162" s="6" t="s">
        <v>746</v>
      </c>
      <c r="E162" s="6">
        <v>550.0</v>
      </c>
      <c r="F162" s="6">
        <v>550.0</v>
      </c>
      <c r="G162" s="6">
        <v>0.0</v>
      </c>
      <c r="H162" s="6">
        <v>0.0</v>
      </c>
      <c r="I162" s="6">
        <v>0.0</v>
      </c>
      <c r="J162" s="6">
        <v>550.0</v>
      </c>
      <c r="K162" s="6">
        <v>0.0</v>
      </c>
    </row>
    <row r="163" ht="15.75" customHeight="1">
      <c r="B163" s="6" t="s">
        <v>747</v>
      </c>
      <c r="C163" s="6" t="s">
        <v>748</v>
      </c>
      <c r="E163" s="6">
        <v>1500.0</v>
      </c>
      <c r="F163" s="6">
        <v>1500.0</v>
      </c>
      <c r="G163" s="6">
        <v>0.0</v>
      </c>
      <c r="H163" s="6">
        <v>0.0</v>
      </c>
      <c r="I163" s="6">
        <v>0.0</v>
      </c>
      <c r="J163" s="6">
        <v>1500.0</v>
      </c>
      <c r="K163" s="6">
        <v>0.0</v>
      </c>
    </row>
    <row r="164" ht="15.75" customHeight="1">
      <c r="B164" s="6" t="s">
        <v>594</v>
      </c>
      <c r="C164" s="6" t="s">
        <v>749</v>
      </c>
      <c r="D164" s="6" t="s">
        <v>152</v>
      </c>
      <c r="E164" s="6">
        <v>225.0</v>
      </c>
      <c r="F164" s="6">
        <v>225.0</v>
      </c>
      <c r="G164" s="6">
        <v>0.0</v>
      </c>
      <c r="H164" s="6">
        <v>0.0</v>
      </c>
      <c r="I164" s="6">
        <v>0.0</v>
      </c>
      <c r="J164" s="6">
        <v>225.0</v>
      </c>
      <c r="K164" s="6">
        <v>0.0</v>
      </c>
    </row>
    <row r="165" ht="15.75" customHeight="1">
      <c r="E165" s="6">
        <f t="shared" ref="E165:G165" si="19">SUM(E162:E164)</f>
        <v>2275</v>
      </c>
      <c r="F165" s="6">
        <f t="shared" si="19"/>
        <v>2275</v>
      </c>
      <c r="G165" s="6">
        <f t="shared" si="19"/>
        <v>0</v>
      </c>
      <c r="H165" s="6">
        <v>0.0</v>
      </c>
      <c r="I165" s="6">
        <v>0.0</v>
      </c>
      <c r="J165" s="6">
        <f>SUM(J162:J164)</f>
        <v>2275</v>
      </c>
      <c r="K165" s="6">
        <v>0.0</v>
      </c>
    </row>
    <row r="166" ht="15.75" customHeight="1">
      <c r="B166" s="6" t="s">
        <v>750</v>
      </c>
      <c r="C166" s="6" t="s">
        <v>751</v>
      </c>
      <c r="D166" s="6" t="s">
        <v>752</v>
      </c>
      <c r="E166" s="6">
        <v>-1050.0</v>
      </c>
      <c r="F166" s="6">
        <v>-1050.0</v>
      </c>
      <c r="G166" s="6">
        <v>0.0</v>
      </c>
      <c r="H166" s="6">
        <v>0.0</v>
      </c>
      <c r="I166" s="6">
        <v>0.0</v>
      </c>
      <c r="J166" s="6">
        <v>-1000.0</v>
      </c>
      <c r="K166" s="6">
        <v>0.0</v>
      </c>
    </row>
    <row r="167" ht="15.75" customHeight="1">
      <c r="D167" s="6" t="s">
        <v>338</v>
      </c>
      <c r="E167" s="6">
        <v>1225.0</v>
      </c>
      <c r="F167" s="6">
        <v>1225.0</v>
      </c>
      <c r="G167" s="6">
        <v>0.0</v>
      </c>
      <c r="H167" s="6">
        <v>0.0</v>
      </c>
      <c r="I167" s="6">
        <v>0.0</v>
      </c>
    </row>
    <row r="168" ht="15.75" customHeight="1"/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ht="15.75" customHeight="1">
      <c r="A170" s="5">
        <v>45790.0</v>
      </c>
      <c r="B170" s="6" t="s">
        <v>753</v>
      </c>
      <c r="C170" s="6" t="s">
        <v>754</v>
      </c>
      <c r="D170" s="6" t="s">
        <v>755</v>
      </c>
      <c r="E170" s="6">
        <v>150.0</v>
      </c>
      <c r="F170" s="6">
        <v>0.0</v>
      </c>
      <c r="G170" s="6">
        <v>150.0</v>
      </c>
      <c r="H170" s="6">
        <v>0.0</v>
      </c>
      <c r="I170" s="6">
        <v>0.0</v>
      </c>
      <c r="J170" s="6">
        <v>150.0</v>
      </c>
      <c r="K170" s="6">
        <v>0.0</v>
      </c>
    </row>
    <row r="171" ht="15.75" customHeight="1">
      <c r="B171" s="6" t="s">
        <v>756</v>
      </c>
      <c r="C171" s="6" t="s">
        <v>757</v>
      </c>
      <c r="D171" s="6" t="s">
        <v>291</v>
      </c>
      <c r="E171" s="6">
        <v>100.0</v>
      </c>
      <c r="F171" s="6">
        <v>100.0</v>
      </c>
      <c r="G171" s="6">
        <v>0.0</v>
      </c>
      <c r="H171" s="6">
        <v>0.0</v>
      </c>
      <c r="I171" s="6">
        <v>0.0</v>
      </c>
      <c r="J171" s="6">
        <v>100.0</v>
      </c>
      <c r="K171" s="6">
        <v>0.0</v>
      </c>
    </row>
    <row r="172" ht="15.75" customHeight="1">
      <c r="B172" s="6" t="s">
        <v>622</v>
      </c>
      <c r="C172" s="6" t="s">
        <v>758</v>
      </c>
      <c r="D172" s="6" t="s">
        <v>711</v>
      </c>
      <c r="E172" s="6">
        <v>150.0</v>
      </c>
      <c r="F172" s="6">
        <v>0.0</v>
      </c>
      <c r="G172" s="6">
        <v>150.0</v>
      </c>
      <c r="H172" s="6">
        <v>0.0</v>
      </c>
      <c r="I172" s="6">
        <v>0.0</v>
      </c>
      <c r="J172" s="6">
        <v>150.0</v>
      </c>
      <c r="K172" s="6">
        <v>0.0</v>
      </c>
    </row>
    <row r="173" ht="15.75" customHeight="1">
      <c r="B173" s="6" t="s">
        <v>759</v>
      </c>
      <c r="C173" s="6" t="s">
        <v>760</v>
      </c>
      <c r="D173" s="6" t="s">
        <v>761</v>
      </c>
      <c r="E173" s="6">
        <v>150.0</v>
      </c>
      <c r="F173" s="6">
        <v>0.0</v>
      </c>
      <c r="G173" s="6">
        <v>150.0</v>
      </c>
      <c r="H173" s="6">
        <v>0.0</v>
      </c>
      <c r="I173" s="6">
        <v>0.0</v>
      </c>
      <c r="J173" s="6">
        <v>0.0</v>
      </c>
      <c r="K173" s="6">
        <v>150.0</v>
      </c>
    </row>
    <row r="174" ht="15.75" customHeight="1">
      <c r="B174" s="6" t="s">
        <v>304</v>
      </c>
      <c r="C174" s="6" t="s">
        <v>762</v>
      </c>
      <c r="D174" s="6" t="s">
        <v>132</v>
      </c>
      <c r="E174" s="6">
        <v>100.0</v>
      </c>
      <c r="F174" s="6">
        <v>100.0</v>
      </c>
      <c r="G174" s="6">
        <v>0.0</v>
      </c>
      <c r="H174" s="6">
        <v>0.0</v>
      </c>
      <c r="I174" s="6">
        <v>0.0</v>
      </c>
      <c r="J174" s="6">
        <v>100.0</v>
      </c>
      <c r="K174" s="6">
        <v>0.0</v>
      </c>
    </row>
    <row r="175" ht="15.75" customHeight="1">
      <c r="B175" s="14" t="s">
        <v>763</v>
      </c>
      <c r="C175" s="6" t="s">
        <v>582</v>
      </c>
      <c r="D175" s="6" t="s">
        <v>51</v>
      </c>
      <c r="E175" s="6">
        <v>320.0</v>
      </c>
      <c r="F175" s="6">
        <v>0.0</v>
      </c>
      <c r="G175" s="6">
        <v>320.0</v>
      </c>
      <c r="H175" s="6">
        <v>0.0</v>
      </c>
      <c r="I175" s="6">
        <v>0.0</v>
      </c>
      <c r="J175" s="6">
        <v>320.0</v>
      </c>
      <c r="K175" s="6">
        <v>0.0</v>
      </c>
    </row>
    <row r="176" ht="15.75" customHeight="1">
      <c r="E176" s="6">
        <f t="shared" ref="E176:G176" si="20">SUM(E170:E175)</f>
        <v>970</v>
      </c>
      <c r="F176" s="6">
        <f t="shared" si="20"/>
        <v>200</v>
      </c>
      <c r="G176" s="6">
        <f t="shared" si="20"/>
        <v>770</v>
      </c>
      <c r="H176" s="6">
        <v>0.0</v>
      </c>
      <c r="I176" s="6">
        <v>0.0</v>
      </c>
      <c r="J176" s="6">
        <f t="shared" ref="J176:K176" si="21">SUM(J170:J175)</f>
        <v>820</v>
      </c>
      <c r="K176" s="6">
        <f t="shared" si="21"/>
        <v>150</v>
      </c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ht="15.75" customHeight="1">
      <c r="A178" s="5">
        <v>45791.0</v>
      </c>
      <c r="B178" s="6" t="s">
        <v>764</v>
      </c>
      <c r="C178" s="6" t="s">
        <v>765</v>
      </c>
      <c r="D178" s="6" t="s">
        <v>337</v>
      </c>
      <c r="E178" s="6">
        <v>850.0</v>
      </c>
    </row>
    <row r="179" ht="15.75" customHeight="1">
      <c r="B179" s="6" t="s">
        <v>766</v>
      </c>
      <c r="C179" s="6" t="s">
        <v>767</v>
      </c>
      <c r="D179" s="6" t="s">
        <v>152</v>
      </c>
      <c r="F179" s="6">
        <v>350.0</v>
      </c>
      <c r="G179" s="6">
        <v>500.0</v>
      </c>
      <c r="H179" s="6">
        <v>0.0</v>
      </c>
      <c r="I179" s="6">
        <v>0.0</v>
      </c>
      <c r="J179" s="6">
        <v>850.0</v>
      </c>
      <c r="K179" s="6">
        <v>0.0</v>
      </c>
    </row>
    <row r="180" ht="15.75" customHeight="1">
      <c r="B180" s="6" t="s">
        <v>66</v>
      </c>
      <c r="C180" s="6" t="s">
        <v>663</v>
      </c>
      <c r="D180" s="6" t="s">
        <v>51</v>
      </c>
      <c r="E180" s="6">
        <v>300.0</v>
      </c>
      <c r="F180" s="6">
        <v>300.0</v>
      </c>
      <c r="G180" s="6">
        <v>0.0</v>
      </c>
      <c r="H180" s="6">
        <v>0.0</v>
      </c>
      <c r="I180" s="6">
        <v>0.0</v>
      </c>
      <c r="J180" s="6">
        <v>300.0</v>
      </c>
      <c r="K180" s="6">
        <v>0.0</v>
      </c>
    </row>
    <row r="181" ht="15.75" customHeight="1">
      <c r="B181" s="6" t="s">
        <v>768</v>
      </c>
      <c r="C181" s="6" t="s">
        <v>769</v>
      </c>
      <c r="D181" s="6" t="s">
        <v>337</v>
      </c>
      <c r="E181" s="6">
        <v>250.0</v>
      </c>
      <c r="F181" s="6">
        <v>250.0</v>
      </c>
      <c r="H181" s="6">
        <v>0.0</v>
      </c>
      <c r="I181" s="6">
        <v>0.0</v>
      </c>
      <c r="J181" s="6">
        <v>250.0</v>
      </c>
      <c r="K181" s="6">
        <v>0.0</v>
      </c>
    </row>
    <row r="182" ht="15.75" customHeight="1">
      <c r="B182" s="6" t="s">
        <v>371</v>
      </c>
      <c r="C182" s="6" t="s">
        <v>770</v>
      </c>
      <c r="D182" s="6" t="s">
        <v>771</v>
      </c>
      <c r="E182" s="6">
        <v>1000.0</v>
      </c>
      <c r="F182" s="6">
        <v>0.0</v>
      </c>
      <c r="G182" s="6">
        <v>1000.0</v>
      </c>
      <c r="H182" s="6">
        <v>0.0</v>
      </c>
      <c r="I182" s="6">
        <v>0.0</v>
      </c>
      <c r="J182" s="6">
        <v>1000.0</v>
      </c>
      <c r="K182" s="6">
        <v>0.0</v>
      </c>
    </row>
    <row r="183" ht="15.75" customHeight="1">
      <c r="B183" s="6" t="s">
        <v>572</v>
      </c>
      <c r="C183" s="6" t="s">
        <v>772</v>
      </c>
      <c r="D183" s="6" t="s">
        <v>773</v>
      </c>
      <c r="E183" s="6">
        <v>350.0</v>
      </c>
      <c r="F183" s="6">
        <v>0.0</v>
      </c>
      <c r="G183" s="6">
        <v>350.0</v>
      </c>
      <c r="H183" s="6">
        <v>0.0</v>
      </c>
      <c r="I183" s="6">
        <v>0.0</v>
      </c>
      <c r="J183" s="6">
        <v>350.0</v>
      </c>
      <c r="K183" s="6">
        <v>0.0</v>
      </c>
    </row>
    <row r="184" ht="15.75" customHeight="1">
      <c r="B184" s="6" t="s">
        <v>552</v>
      </c>
      <c r="C184" s="6" t="s">
        <v>663</v>
      </c>
      <c r="D184" s="6" t="s">
        <v>51</v>
      </c>
      <c r="E184" s="6">
        <v>270.0</v>
      </c>
      <c r="F184" s="6">
        <v>0.0</v>
      </c>
      <c r="G184" s="6">
        <v>270.0</v>
      </c>
      <c r="H184" s="6">
        <v>0.0</v>
      </c>
      <c r="I184" s="6">
        <v>0.0</v>
      </c>
      <c r="J184" s="6">
        <v>270.0</v>
      </c>
      <c r="K184" s="6">
        <v>0.0</v>
      </c>
    </row>
    <row r="185" ht="15.75" customHeight="1">
      <c r="B185" s="6" t="s">
        <v>774</v>
      </c>
      <c r="C185" s="6" t="s">
        <v>775</v>
      </c>
      <c r="D185" s="6" t="s">
        <v>776</v>
      </c>
      <c r="E185" s="6">
        <v>550.0</v>
      </c>
      <c r="F185" s="6">
        <v>0.0</v>
      </c>
      <c r="G185" s="6">
        <v>550.0</v>
      </c>
      <c r="H185" s="6">
        <v>0.0</v>
      </c>
      <c r="I185" s="6">
        <v>0.0</v>
      </c>
      <c r="J185" s="6">
        <v>550.0</v>
      </c>
      <c r="K185" s="6">
        <v>0.0</v>
      </c>
    </row>
    <row r="186" ht="15.75" customHeight="1">
      <c r="B186" s="6" t="s">
        <v>513</v>
      </c>
      <c r="C186" s="6" t="s">
        <v>777</v>
      </c>
      <c r="E186" s="6">
        <v>200.0</v>
      </c>
      <c r="F186" s="6">
        <v>200.0</v>
      </c>
      <c r="G186" s="6">
        <v>0.0</v>
      </c>
      <c r="H186" s="6">
        <v>0.0</v>
      </c>
      <c r="I186" s="6">
        <v>0.0</v>
      </c>
      <c r="J186" s="6">
        <v>200.0</v>
      </c>
      <c r="K186" s="6">
        <v>0.0</v>
      </c>
    </row>
    <row r="187" ht="15.75" customHeight="1">
      <c r="E187" s="6">
        <f>SUM(E178:E186)</f>
        <v>3770</v>
      </c>
      <c r="F187" s="6">
        <f t="shared" ref="F187:G187" si="22">SUM(F179:F186)</f>
        <v>1100</v>
      </c>
      <c r="G187" s="6">
        <f t="shared" si="22"/>
        <v>2670</v>
      </c>
      <c r="H187" s="6">
        <v>0.0</v>
      </c>
      <c r="I187" s="6">
        <v>0.0</v>
      </c>
      <c r="J187" s="6">
        <f>SUM(J179:J186)</f>
        <v>3770</v>
      </c>
      <c r="K187" s="6">
        <v>0.0</v>
      </c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ht="15.75" customHeight="1">
      <c r="A189" s="5">
        <v>45792.0</v>
      </c>
      <c r="B189" s="6" t="s">
        <v>309</v>
      </c>
      <c r="C189" s="6" t="s">
        <v>778</v>
      </c>
      <c r="D189" s="6" t="s">
        <v>779</v>
      </c>
      <c r="E189" s="6">
        <v>200.0</v>
      </c>
      <c r="G189" s="6">
        <v>200.0</v>
      </c>
      <c r="H189" s="6">
        <v>0.0</v>
      </c>
      <c r="I189" s="6">
        <v>0.0</v>
      </c>
      <c r="J189" s="6">
        <v>200.0</v>
      </c>
      <c r="K189" s="6">
        <v>0.0</v>
      </c>
    </row>
    <row r="190" ht="15.75" customHeight="1">
      <c r="B190" s="6" t="s">
        <v>567</v>
      </c>
      <c r="C190" s="6" t="s">
        <v>780</v>
      </c>
      <c r="D190" s="6" t="s">
        <v>152</v>
      </c>
      <c r="E190" s="6">
        <v>200.0</v>
      </c>
      <c r="F190" s="6">
        <v>200.0</v>
      </c>
      <c r="H190" s="6">
        <v>0.0</v>
      </c>
      <c r="I190" s="6">
        <v>0.0</v>
      </c>
      <c r="J190" s="6">
        <v>200.0</v>
      </c>
      <c r="K190" s="6">
        <v>0.0</v>
      </c>
    </row>
    <row r="191" ht="15.75" customHeight="1">
      <c r="B191" s="6" t="s">
        <v>781</v>
      </c>
      <c r="C191" s="6" t="s">
        <v>782</v>
      </c>
      <c r="D191" s="6" t="s">
        <v>783</v>
      </c>
      <c r="E191" s="6">
        <v>900.0</v>
      </c>
      <c r="F191" s="6">
        <v>0.0</v>
      </c>
      <c r="G191" s="6">
        <v>900.0</v>
      </c>
      <c r="H191" s="6">
        <v>0.0</v>
      </c>
      <c r="I191" s="6">
        <v>0.0</v>
      </c>
      <c r="J191" s="6">
        <v>900.0</v>
      </c>
      <c r="K191" s="6">
        <v>0.0</v>
      </c>
    </row>
    <row r="192" ht="15.75" customHeight="1">
      <c r="B192" s="6" t="s">
        <v>784</v>
      </c>
      <c r="C192" s="6" t="s">
        <v>286</v>
      </c>
      <c r="D192" s="6" t="s">
        <v>65</v>
      </c>
      <c r="E192" s="6">
        <v>50.0</v>
      </c>
      <c r="F192" s="6">
        <v>0.0</v>
      </c>
      <c r="G192" s="6">
        <v>0.0</v>
      </c>
      <c r="H192" s="6">
        <v>50.0</v>
      </c>
      <c r="I192" s="6">
        <v>0.0</v>
      </c>
      <c r="J192" s="6">
        <v>50.0</v>
      </c>
      <c r="K192" s="6">
        <v>0.0</v>
      </c>
    </row>
    <row r="193" ht="15.75" customHeight="1">
      <c r="E193" s="6">
        <f t="shared" ref="E193:H193" si="23">SUM(E189:E192)</f>
        <v>1350</v>
      </c>
      <c r="F193" s="6">
        <f t="shared" si="23"/>
        <v>200</v>
      </c>
      <c r="G193" s="6">
        <f t="shared" si="23"/>
        <v>1100</v>
      </c>
      <c r="H193" s="6">
        <f t="shared" si="23"/>
        <v>50</v>
      </c>
      <c r="I193" s="6">
        <v>0.0</v>
      </c>
      <c r="J193" s="6">
        <v>1350.0</v>
      </c>
      <c r="K193" s="6">
        <v>0.0</v>
      </c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 t="s">
        <v>785</v>
      </c>
    </row>
    <row r="195" ht="15.75" customHeight="1">
      <c r="A195" s="5">
        <v>45793.0</v>
      </c>
      <c r="B195" s="6" t="s">
        <v>784</v>
      </c>
    </row>
    <row r="196" ht="15.75" customHeight="1"/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 ht="15.75" customHeight="1">
      <c r="A200" s="5">
        <v>45796.0</v>
      </c>
      <c r="B200" s="6" t="s">
        <v>786</v>
      </c>
      <c r="C200" s="6" t="s">
        <v>398</v>
      </c>
      <c r="D200" s="6" t="s">
        <v>65</v>
      </c>
      <c r="E200" s="6">
        <v>50.0</v>
      </c>
      <c r="F200" s="6">
        <v>0.0</v>
      </c>
      <c r="G200" s="6">
        <v>0.0</v>
      </c>
      <c r="H200" s="6">
        <v>50.0</v>
      </c>
      <c r="I200" s="6">
        <v>0.0</v>
      </c>
      <c r="J200" s="6">
        <v>50.0</v>
      </c>
      <c r="K200" s="6">
        <v>0.0</v>
      </c>
    </row>
    <row r="201" ht="15.75" customHeight="1">
      <c r="B201" s="6" t="s">
        <v>787</v>
      </c>
      <c r="C201" s="6" t="s">
        <v>398</v>
      </c>
      <c r="D201" s="6" t="s">
        <v>65</v>
      </c>
      <c r="E201" s="6">
        <v>50.0</v>
      </c>
      <c r="F201" s="6">
        <v>0.0</v>
      </c>
      <c r="G201" s="6">
        <v>0.0</v>
      </c>
      <c r="H201" s="6">
        <v>50.0</v>
      </c>
      <c r="I201" s="6">
        <v>0.0</v>
      </c>
      <c r="J201" s="6">
        <v>50.0</v>
      </c>
      <c r="K201" s="6">
        <v>0.0</v>
      </c>
    </row>
    <row r="202" ht="15.75" customHeight="1">
      <c r="B202" s="6" t="s">
        <v>788</v>
      </c>
      <c r="C202" s="6" t="s">
        <v>789</v>
      </c>
      <c r="D202" s="6" t="s">
        <v>790</v>
      </c>
      <c r="E202" s="6">
        <v>500.0</v>
      </c>
      <c r="F202" s="6">
        <v>0.0</v>
      </c>
      <c r="G202" s="6">
        <v>500.0</v>
      </c>
      <c r="H202" s="6">
        <v>0.0</v>
      </c>
      <c r="I202" s="6">
        <v>0.0</v>
      </c>
      <c r="J202" s="6">
        <v>500.0</v>
      </c>
      <c r="K202" s="6">
        <v>0.0</v>
      </c>
    </row>
    <row r="203" ht="15.75" customHeight="1">
      <c r="B203" s="6" t="s">
        <v>271</v>
      </c>
      <c r="C203" s="6" t="s">
        <v>791</v>
      </c>
      <c r="D203" s="6" t="s">
        <v>106</v>
      </c>
      <c r="E203" s="6">
        <v>500.0</v>
      </c>
      <c r="F203" s="6">
        <v>500.0</v>
      </c>
      <c r="G203" s="6">
        <v>0.0</v>
      </c>
      <c r="H203" s="6">
        <v>0.0</v>
      </c>
      <c r="I203" s="6">
        <v>0.0</v>
      </c>
      <c r="J203" s="6">
        <v>500.0</v>
      </c>
      <c r="K203" s="6">
        <v>0.0</v>
      </c>
    </row>
    <row r="204" ht="15.75" customHeight="1">
      <c r="E204" s="6">
        <f>SUM(E200:E203)</f>
        <v>1100</v>
      </c>
      <c r="F204" s="6">
        <v>500.0</v>
      </c>
      <c r="G204" s="6">
        <v>500.0</v>
      </c>
      <c r="H204" s="6">
        <v>600.0</v>
      </c>
      <c r="I204" s="6">
        <v>0.0</v>
      </c>
      <c r="J204" s="6">
        <v>1100.0</v>
      </c>
      <c r="K204" s="6">
        <v>0.0</v>
      </c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ht="15.75" customHeight="1">
      <c r="A206" s="5">
        <v>45797.0</v>
      </c>
      <c r="B206" s="6" t="s">
        <v>471</v>
      </c>
      <c r="C206" s="6" t="s">
        <v>792</v>
      </c>
      <c r="D206" s="6" t="s">
        <v>152</v>
      </c>
      <c r="E206" s="6">
        <v>225.0</v>
      </c>
      <c r="F206" s="6">
        <v>225.0</v>
      </c>
      <c r="G206" s="6">
        <v>0.0</v>
      </c>
      <c r="H206" s="6">
        <v>0.0</v>
      </c>
      <c r="I206" s="6">
        <v>0.0</v>
      </c>
      <c r="J206" s="6">
        <v>225.0</v>
      </c>
      <c r="K206" s="6">
        <v>0.0</v>
      </c>
    </row>
    <row r="207" ht="15.75" customHeight="1">
      <c r="B207" s="6" t="s">
        <v>793</v>
      </c>
      <c r="C207" s="6" t="s">
        <v>794</v>
      </c>
      <c r="D207" s="6" t="s">
        <v>755</v>
      </c>
      <c r="E207" s="6">
        <v>200.0</v>
      </c>
      <c r="F207" s="6">
        <v>200.0</v>
      </c>
      <c r="G207" s="6">
        <v>0.0</v>
      </c>
      <c r="H207" s="6">
        <v>0.0</v>
      </c>
      <c r="I207" s="6">
        <v>0.0</v>
      </c>
      <c r="J207" s="6">
        <v>200.0</v>
      </c>
      <c r="K207" s="6">
        <v>0.0</v>
      </c>
    </row>
    <row r="208" ht="15.75" customHeight="1">
      <c r="B208" s="6" t="s">
        <v>795</v>
      </c>
      <c r="C208" s="6" t="s">
        <v>796</v>
      </c>
      <c r="D208" s="6" t="s">
        <v>51</v>
      </c>
      <c r="E208" s="6">
        <v>300.0</v>
      </c>
      <c r="F208" s="6">
        <v>0.0</v>
      </c>
      <c r="G208" s="6">
        <v>300.0</v>
      </c>
      <c r="H208" s="6">
        <v>0.0</v>
      </c>
      <c r="I208" s="6">
        <v>0.0</v>
      </c>
      <c r="J208" s="6">
        <v>300.0</v>
      </c>
      <c r="K208" s="6">
        <v>0.0</v>
      </c>
    </row>
    <row r="209" ht="15.75" customHeight="1">
      <c r="B209" s="6" t="s">
        <v>797</v>
      </c>
      <c r="C209" s="6" t="s">
        <v>798</v>
      </c>
      <c r="D209" s="6" t="s">
        <v>799</v>
      </c>
      <c r="E209" s="6">
        <v>400.0</v>
      </c>
      <c r="F209" s="6">
        <v>400.0</v>
      </c>
      <c r="G209" s="6">
        <v>0.0</v>
      </c>
      <c r="H209" s="6">
        <v>0.0</v>
      </c>
      <c r="I209" s="6">
        <v>0.0</v>
      </c>
      <c r="J209" s="6">
        <v>400.0</v>
      </c>
      <c r="K209" s="6">
        <v>0.0</v>
      </c>
    </row>
    <row r="210" ht="15.75" customHeight="1">
      <c r="B210" s="6" t="s">
        <v>800</v>
      </c>
      <c r="C210" s="6" t="s">
        <v>801</v>
      </c>
      <c r="D210" s="6" t="s">
        <v>51</v>
      </c>
      <c r="E210" s="6">
        <v>350.0</v>
      </c>
      <c r="F210" s="6">
        <v>0.0</v>
      </c>
      <c r="G210" s="6">
        <v>350.0</v>
      </c>
      <c r="H210" s="6">
        <v>0.0</v>
      </c>
      <c r="I210" s="6">
        <v>0.0</v>
      </c>
      <c r="J210" s="6">
        <v>350.0</v>
      </c>
      <c r="K210" s="6">
        <v>0.0</v>
      </c>
    </row>
    <row r="211" ht="15.75" customHeight="1">
      <c r="B211" s="6" t="s">
        <v>802</v>
      </c>
      <c r="C211" s="6" t="s">
        <v>796</v>
      </c>
      <c r="D211" s="6" t="s">
        <v>51</v>
      </c>
      <c r="E211" s="6">
        <v>300.0</v>
      </c>
      <c r="F211" s="6">
        <v>0.0</v>
      </c>
      <c r="G211" s="6">
        <v>300.0</v>
      </c>
      <c r="H211" s="6">
        <v>0.0</v>
      </c>
      <c r="I211" s="6">
        <v>0.0</v>
      </c>
      <c r="J211" s="6">
        <v>300.0</v>
      </c>
      <c r="K211" s="6">
        <v>0.0</v>
      </c>
    </row>
    <row r="212" ht="15.75" customHeight="1">
      <c r="B212" s="6" t="s">
        <v>615</v>
      </c>
      <c r="C212" s="6" t="s">
        <v>803</v>
      </c>
      <c r="D212" s="6" t="s">
        <v>804</v>
      </c>
      <c r="E212" s="6">
        <v>510.0</v>
      </c>
      <c r="F212" s="6">
        <v>510.0</v>
      </c>
      <c r="G212" s="6">
        <v>0.0</v>
      </c>
      <c r="H212" s="6">
        <v>0.0</v>
      </c>
      <c r="I212" s="6">
        <v>0.0</v>
      </c>
      <c r="J212" s="6">
        <v>510.0</v>
      </c>
      <c r="K212" s="6">
        <v>0.0</v>
      </c>
    </row>
    <row r="213" ht="15.75" customHeight="1">
      <c r="E213" s="6">
        <f t="shared" ref="E213:G213" si="24">SUM(E206:E212)</f>
        <v>2285</v>
      </c>
      <c r="F213" s="6">
        <f t="shared" si="24"/>
        <v>1335</v>
      </c>
      <c r="G213" s="6">
        <f t="shared" si="24"/>
        <v>950</v>
      </c>
      <c r="H213" s="6">
        <v>0.0</v>
      </c>
      <c r="I213" s="6">
        <v>0.0</v>
      </c>
      <c r="J213" s="6">
        <v>2285.0</v>
      </c>
      <c r="K213" s="6">
        <v>0.0</v>
      </c>
    </row>
    <row r="214" ht="15.75" customHeight="1">
      <c r="A214" s="7"/>
      <c r="B214" s="7"/>
      <c r="C214" s="7"/>
      <c r="D214" s="7"/>
      <c r="E214" s="7"/>
      <c r="F214" s="7" t="s">
        <v>805</v>
      </c>
      <c r="G214" s="7"/>
      <c r="H214" s="7"/>
      <c r="I214" s="7"/>
      <c r="J214" s="7"/>
      <c r="K214" s="7"/>
      <c r="L214" s="7"/>
      <c r="M214" s="7"/>
      <c r="N214" s="7"/>
    </row>
    <row r="215" ht="15.75" customHeight="1">
      <c r="A215" s="5">
        <v>45798.0</v>
      </c>
      <c r="B215" s="6" t="s">
        <v>649</v>
      </c>
      <c r="E215" s="6">
        <v>450.0</v>
      </c>
      <c r="F215" s="6">
        <v>0.0</v>
      </c>
      <c r="G215" s="6">
        <v>450.0</v>
      </c>
      <c r="H215" s="6">
        <v>0.0</v>
      </c>
      <c r="I215" s="6">
        <v>0.0</v>
      </c>
      <c r="J215" s="6">
        <v>450.0</v>
      </c>
      <c r="K215" s="6">
        <v>0.0</v>
      </c>
    </row>
    <row r="216" ht="15.75" customHeight="1">
      <c r="B216" s="6" t="s">
        <v>572</v>
      </c>
      <c r="C216" s="6" t="s">
        <v>806</v>
      </c>
      <c r="E216" s="6">
        <v>200.0</v>
      </c>
      <c r="F216" s="6">
        <v>0.0</v>
      </c>
      <c r="G216" s="6">
        <v>200.0</v>
      </c>
      <c r="H216" s="6">
        <v>0.0</v>
      </c>
      <c r="I216" s="6">
        <v>0.0</v>
      </c>
      <c r="J216" s="6">
        <v>200.0</v>
      </c>
      <c r="K216" s="6">
        <v>0.0</v>
      </c>
    </row>
    <row r="217" ht="15.75" customHeight="1">
      <c r="B217" s="6" t="s">
        <v>253</v>
      </c>
      <c r="C217" s="6" t="s">
        <v>807</v>
      </c>
      <c r="E217" s="6">
        <v>325.0</v>
      </c>
      <c r="F217" s="6">
        <v>0.0</v>
      </c>
      <c r="G217" s="6">
        <v>325.0</v>
      </c>
      <c r="H217" s="6">
        <v>0.0</v>
      </c>
      <c r="I217" s="6">
        <v>0.0</v>
      </c>
      <c r="J217" s="6">
        <v>325.0</v>
      </c>
      <c r="K217" s="6">
        <v>0.0</v>
      </c>
    </row>
    <row r="218" ht="15.75" customHeight="1">
      <c r="B218" s="6" t="s">
        <v>808</v>
      </c>
      <c r="C218" s="6" t="s">
        <v>809</v>
      </c>
      <c r="D218" s="6" t="s">
        <v>810</v>
      </c>
      <c r="E218" s="6">
        <v>650.0</v>
      </c>
      <c r="F218" s="6">
        <v>0.0</v>
      </c>
      <c r="G218" s="6">
        <v>650.0</v>
      </c>
      <c r="H218" s="6">
        <v>0.0</v>
      </c>
      <c r="I218" s="6">
        <v>0.0</v>
      </c>
      <c r="J218" s="6">
        <v>650.0</v>
      </c>
      <c r="K218" s="6">
        <v>0.0</v>
      </c>
    </row>
    <row r="219" ht="15.75" customHeight="1">
      <c r="B219" s="6" t="s">
        <v>201</v>
      </c>
      <c r="C219" s="6" t="s">
        <v>811</v>
      </c>
      <c r="E219" s="6">
        <v>200.0</v>
      </c>
      <c r="F219" s="6">
        <v>0.0</v>
      </c>
      <c r="G219" s="6">
        <v>200.0</v>
      </c>
      <c r="H219" s="6">
        <v>0.0</v>
      </c>
      <c r="I219" s="6">
        <v>0.0</v>
      </c>
      <c r="J219" s="6">
        <v>200.0</v>
      </c>
      <c r="K219" s="6">
        <v>0.0</v>
      </c>
    </row>
    <row r="220" ht="15.75" customHeight="1">
      <c r="B220" s="6" t="s">
        <v>812</v>
      </c>
      <c r="C220" s="6" t="s">
        <v>184</v>
      </c>
      <c r="D220" s="6" t="s">
        <v>476</v>
      </c>
      <c r="E220" s="6">
        <v>500.0</v>
      </c>
      <c r="F220" s="6">
        <v>500.0</v>
      </c>
      <c r="G220" s="6">
        <v>0.0</v>
      </c>
      <c r="H220" s="6">
        <v>0.0</v>
      </c>
      <c r="I220" s="6">
        <v>0.0</v>
      </c>
      <c r="J220" s="6">
        <v>500.0</v>
      </c>
      <c r="K220" s="6">
        <v>0.0</v>
      </c>
    </row>
    <row r="221" ht="15.75" customHeight="1">
      <c r="B221" s="6" t="s">
        <v>384</v>
      </c>
      <c r="C221" s="6" t="s">
        <v>813</v>
      </c>
      <c r="D221" s="6" t="s">
        <v>548</v>
      </c>
      <c r="E221" s="6">
        <v>420.0</v>
      </c>
      <c r="F221" s="6">
        <v>0.0</v>
      </c>
      <c r="G221" s="6">
        <v>420.0</v>
      </c>
      <c r="H221" s="6">
        <v>0.0</v>
      </c>
      <c r="I221" s="6">
        <v>0.0</v>
      </c>
      <c r="J221" s="6">
        <v>420.0</v>
      </c>
      <c r="K221" s="6">
        <v>0.0</v>
      </c>
    </row>
    <row r="222" ht="15.75" customHeight="1">
      <c r="E222" s="6">
        <f>SUM(E215:E221)</f>
        <v>2745</v>
      </c>
      <c r="F222" s="6">
        <v>500.0</v>
      </c>
      <c r="G222" s="6">
        <f>SUM(G215:G221)</f>
        <v>2245</v>
      </c>
      <c r="H222" s="6">
        <v>0.0</v>
      </c>
      <c r="I222" s="6">
        <v>0.0</v>
      </c>
      <c r="J222" s="6">
        <f>SUM(J215:J221)</f>
        <v>2745</v>
      </c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ht="15.75" customHeight="1">
      <c r="A224" s="5">
        <v>45799.0</v>
      </c>
      <c r="B224" s="6" t="s">
        <v>682</v>
      </c>
      <c r="C224" s="6" t="s">
        <v>814</v>
      </c>
      <c r="D224" s="6" t="s">
        <v>815</v>
      </c>
      <c r="E224" s="6">
        <v>500.0</v>
      </c>
      <c r="F224" s="6">
        <v>500.0</v>
      </c>
      <c r="G224" s="6">
        <v>0.0</v>
      </c>
      <c r="H224" s="6">
        <v>0.0</v>
      </c>
      <c r="I224" s="6">
        <v>0.0</v>
      </c>
      <c r="J224" s="6">
        <v>500.0</v>
      </c>
      <c r="K224" s="6">
        <v>0.0</v>
      </c>
    </row>
    <row r="225" ht="15.75" customHeight="1">
      <c r="B225" s="6" t="s">
        <v>664</v>
      </c>
      <c r="C225" s="6" t="s">
        <v>816</v>
      </c>
      <c r="D225" s="6" t="s">
        <v>563</v>
      </c>
      <c r="E225" s="6">
        <v>300.0</v>
      </c>
      <c r="F225" s="6">
        <v>0.0</v>
      </c>
      <c r="G225" s="6">
        <v>300.0</v>
      </c>
      <c r="H225" s="6">
        <v>0.0</v>
      </c>
      <c r="I225" s="6">
        <v>0.0</v>
      </c>
      <c r="J225" s="6">
        <v>300.0</v>
      </c>
      <c r="K225" s="6">
        <v>0.0</v>
      </c>
    </row>
    <row r="226" ht="15.75" customHeight="1">
      <c r="B226" s="6" t="s">
        <v>258</v>
      </c>
      <c r="C226" s="6" t="s">
        <v>817</v>
      </c>
      <c r="D226" s="6" t="s">
        <v>51</v>
      </c>
      <c r="E226" s="6">
        <v>300.0</v>
      </c>
      <c r="F226" s="6">
        <v>0.0</v>
      </c>
      <c r="G226" s="6">
        <v>300.0</v>
      </c>
      <c r="H226" s="6">
        <v>0.0</v>
      </c>
      <c r="I226" s="6">
        <v>0.0</v>
      </c>
      <c r="J226" s="6">
        <v>300.0</v>
      </c>
      <c r="K226" s="6">
        <v>0.0</v>
      </c>
    </row>
    <row r="227" ht="15.75" customHeight="1">
      <c r="B227" s="6" t="s">
        <v>818</v>
      </c>
      <c r="C227" s="6" t="s">
        <v>819</v>
      </c>
      <c r="D227" s="6" t="s">
        <v>291</v>
      </c>
      <c r="E227" s="6">
        <v>100.0</v>
      </c>
      <c r="F227" s="6">
        <v>100.0</v>
      </c>
      <c r="G227" s="6">
        <v>0.0</v>
      </c>
      <c r="H227" s="6">
        <v>0.0</v>
      </c>
      <c r="I227" s="6">
        <v>0.0</v>
      </c>
      <c r="J227" s="6">
        <v>100.0</v>
      </c>
      <c r="K227" s="6">
        <v>0.0</v>
      </c>
    </row>
    <row r="228" ht="15.75" customHeight="1">
      <c r="E228" s="6">
        <f t="shared" ref="E228:G228" si="25">SUM(E224:E227)</f>
        <v>1200</v>
      </c>
      <c r="F228" s="6">
        <f t="shared" si="25"/>
        <v>600</v>
      </c>
      <c r="G228" s="6">
        <f t="shared" si="25"/>
        <v>600</v>
      </c>
      <c r="H228" s="6">
        <v>0.0</v>
      </c>
      <c r="I228" s="6">
        <v>0.0</v>
      </c>
      <c r="J228" s="6">
        <f>SUM(J224:J227)</f>
        <v>1200</v>
      </c>
      <c r="K228" s="6">
        <v>0.0</v>
      </c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ht="15.75" customHeight="1">
      <c r="A230" s="5">
        <v>45801.0</v>
      </c>
      <c r="L230" s="6" t="s">
        <v>820</v>
      </c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 ht="15.75" customHeight="1">
      <c r="A234" s="5">
        <v>45803.0</v>
      </c>
      <c r="B234" s="6" t="s">
        <v>821</v>
      </c>
      <c r="C234" s="6" t="s">
        <v>822</v>
      </c>
      <c r="D234" s="6" t="s">
        <v>291</v>
      </c>
      <c r="E234" s="6">
        <v>100.0</v>
      </c>
      <c r="F234" s="6">
        <v>100.0</v>
      </c>
      <c r="G234" s="6">
        <v>0.0</v>
      </c>
      <c r="H234" s="6">
        <v>0.0</v>
      </c>
      <c r="I234" s="6">
        <v>0.0</v>
      </c>
      <c r="J234" s="6">
        <v>100.0</v>
      </c>
      <c r="K234" s="6">
        <v>0.0</v>
      </c>
    </row>
    <row r="235" ht="15.75" customHeight="1">
      <c r="B235" s="6" t="s">
        <v>823</v>
      </c>
      <c r="C235" s="6" t="s">
        <v>824</v>
      </c>
      <c r="D235" s="6" t="s">
        <v>825</v>
      </c>
      <c r="E235" s="6">
        <v>200.0</v>
      </c>
      <c r="F235" s="6">
        <v>200.0</v>
      </c>
      <c r="G235" s="6">
        <v>0.0</v>
      </c>
      <c r="H235" s="6">
        <v>0.0</v>
      </c>
      <c r="I235" s="6">
        <v>0.0</v>
      </c>
      <c r="J235" s="6">
        <v>200.0</v>
      </c>
      <c r="K235" s="6">
        <v>0.0</v>
      </c>
    </row>
    <row r="236" ht="15.75" customHeight="1">
      <c r="A236" s="6" t="s">
        <v>826</v>
      </c>
      <c r="B236" s="6" t="s">
        <v>98</v>
      </c>
      <c r="C236" s="6" t="s">
        <v>827</v>
      </c>
      <c r="D236" s="6" t="s">
        <v>51</v>
      </c>
      <c r="E236" s="6">
        <v>300.0</v>
      </c>
      <c r="F236" s="6">
        <v>300.0</v>
      </c>
      <c r="G236" s="6">
        <v>0.0</v>
      </c>
      <c r="H236" s="6">
        <v>0.0</v>
      </c>
      <c r="I236" s="6">
        <v>0.0</v>
      </c>
      <c r="J236" s="6">
        <v>300.0</v>
      </c>
      <c r="K236" s="6">
        <v>0.0</v>
      </c>
    </row>
    <row r="237" ht="15.75" customHeight="1">
      <c r="B237" s="6" t="s">
        <v>828</v>
      </c>
      <c r="C237" s="6" t="s">
        <v>829</v>
      </c>
      <c r="D237" s="6" t="s">
        <v>755</v>
      </c>
      <c r="E237" s="6">
        <v>250.0</v>
      </c>
      <c r="F237" s="6">
        <v>0.0</v>
      </c>
      <c r="G237" s="6">
        <v>250.0</v>
      </c>
      <c r="H237" s="6">
        <v>0.0</v>
      </c>
      <c r="I237" s="6">
        <v>0.0</v>
      </c>
      <c r="J237" s="6">
        <v>250.0</v>
      </c>
      <c r="K237" s="6">
        <v>0.0</v>
      </c>
    </row>
    <row r="238" ht="15.75" customHeight="1">
      <c r="B238" s="6" t="s">
        <v>830</v>
      </c>
      <c r="C238" s="6" t="s">
        <v>831</v>
      </c>
      <c r="D238" s="6" t="s">
        <v>832</v>
      </c>
      <c r="E238" s="6">
        <v>40.0</v>
      </c>
      <c r="F238" s="6">
        <v>0.0</v>
      </c>
      <c r="G238" s="6">
        <v>40.0</v>
      </c>
      <c r="H238" s="6">
        <v>0.0</v>
      </c>
      <c r="I238" s="6">
        <v>0.0</v>
      </c>
      <c r="J238" s="6">
        <v>40.0</v>
      </c>
      <c r="K238" s="6">
        <v>0.0</v>
      </c>
    </row>
    <row r="239" ht="15.75" customHeight="1">
      <c r="E239" s="6">
        <f t="shared" ref="E239:G239" si="26">SUM(E234:E238)</f>
        <v>890</v>
      </c>
      <c r="F239" s="6">
        <f t="shared" si="26"/>
        <v>600</v>
      </c>
      <c r="G239" s="6">
        <f t="shared" si="26"/>
        <v>290</v>
      </c>
      <c r="H239" s="6">
        <v>0.0</v>
      </c>
      <c r="I239" s="6">
        <v>0.0</v>
      </c>
      <c r="J239" s="6">
        <f>SUM(J234:J238)</f>
        <v>890</v>
      </c>
      <c r="K239" s="6">
        <v>0.0</v>
      </c>
    </row>
    <row r="240" ht="15.75" customHeight="1"/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ht="15.75" customHeight="1">
      <c r="A242" s="5">
        <v>45804.0</v>
      </c>
      <c r="B242" s="6" t="s">
        <v>833</v>
      </c>
      <c r="C242" s="6" t="s">
        <v>834</v>
      </c>
      <c r="D242" s="6" t="s">
        <v>144</v>
      </c>
      <c r="E242" s="6">
        <v>60.0</v>
      </c>
      <c r="F242" s="6">
        <v>0.0</v>
      </c>
      <c r="G242" s="6">
        <v>60.0</v>
      </c>
      <c r="H242" s="6">
        <v>0.0</v>
      </c>
      <c r="I242" s="6">
        <v>0.0</v>
      </c>
      <c r="J242" s="6">
        <v>60.0</v>
      </c>
      <c r="K242" s="6">
        <v>0.0</v>
      </c>
    </row>
    <row r="243" ht="15.75" customHeight="1">
      <c r="B243" s="6" t="s">
        <v>835</v>
      </c>
      <c r="C243" s="6" t="s">
        <v>836</v>
      </c>
      <c r="D243" s="6" t="s">
        <v>837</v>
      </c>
      <c r="E243" s="6">
        <v>500.0</v>
      </c>
      <c r="F243" s="6">
        <v>500.0</v>
      </c>
      <c r="G243" s="6">
        <v>0.0</v>
      </c>
      <c r="H243" s="6">
        <v>0.0</v>
      </c>
      <c r="I243" s="6">
        <v>0.0</v>
      </c>
      <c r="J243" s="6">
        <v>500.0</v>
      </c>
      <c r="K243" s="6">
        <v>0.0</v>
      </c>
    </row>
    <row r="244" ht="15.75" customHeight="1">
      <c r="B244" s="6" t="s">
        <v>411</v>
      </c>
      <c r="C244" s="6" t="s">
        <v>838</v>
      </c>
      <c r="D244" s="6" t="s">
        <v>839</v>
      </c>
      <c r="E244" s="6">
        <v>750.0</v>
      </c>
      <c r="F244" s="6">
        <v>0.0</v>
      </c>
      <c r="G244" s="6">
        <v>750.0</v>
      </c>
      <c r="H244" s="6">
        <v>0.0</v>
      </c>
      <c r="I244" s="6">
        <v>0.0</v>
      </c>
      <c r="J244" s="6">
        <v>750.0</v>
      </c>
      <c r="K244" s="6">
        <v>0.0</v>
      </c>
    </row>
    <row r="245" ht="15.75" customHeight="1">
      <c r="B245" s="14" t="s">
        <v>652</v>
      </c>
      <c r="C245" s="6" t="s">
        <v>840</v>
      </c>
      <c r="D245" s="6" t="s">
        <v>368</v>
      </c>
      <c r="E245" s="6">
        <v>750.0</v>
      </c>
      <c r="F245" s="6">
        <v>150.0</v>
      </c>
      <c r="G245" s="6">
        <v>300.0</v>
      </c>
      <c r="H245" s="6">
        <v>0.0</v>
      </c>
      <c r="I245" s="6">
        <v>0.0</v>
      </c>
      <c r="J245" s="6">
        <v>300.0</v>
      </c>
      <c r="K245" s="6">
        <v>0.0</v>
      </c>
    </row>
    <row r="246" ht="15.75" customHeight="1">
      <c r="E246" s="6">
        <f t="shared" ref="E246:G246" si="27">SUM(E242:E245)</f>
        <v>2060</v>
      </c>
      <c r="F246" s="6">
        <f t="shared" si="27"/>
        <v>650</v>
      </c>
      <c r="G246" s="6">
        <f t="shared" si="27"/>
        <v>1110</v>
      </c>
      <c r="H246" s="6">
        <v>0.0</v>
      </c>
      <c r="I246" s="6">
        <v>0.0</v>
      </c>
      <c r="J246" s="6">
        <f>SUM(J242:J245)</f>
        <v>1610</v>
      </c>
      <c r="K246" s="6">
        <v>0.0</v>
      </c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ht="15.75" customHeight="1">
      <c r="A248" s="5">
        <v>45805.0</v>
      </c>
      <c r="B248" s="6" t="s">
        <v>841</v>
      </c>
      <c r="C248" s="6" t="s">
        <v>842</v>
      </c>
      <c r="D248" s="6" t="s">
        <v>825</v>
      </c>
      <c r="E248" s="6">
        <v>250.0</v>
      </c>
      <c r="F248" s="6">
        <v>0.0</v>
      </c>
      <c r="G248" s="6">
        <v>250.0</v>
      </c>
      <c r="H248" s="6">
        <v>0.0</v>
      </c>
      <c r="I248" s="6">
        <v>0.0</v>
      </c>
      <c r="J248" s="6">
        <v>250.0</v>
      </c>
      <c r="K248" s="6">
        <v>0.0</v>
      </c>
    </row>
    <row r="249" ht="15.75" customHeight="1">
      <c r="B249" s="6" t="s">
        <v>843</v>
      </c>
      <c r="C249" s="6" t="s">
        <v>844</v>
      </c>
      <c r="D249" s="6" t="s">
        <v>845</v>
      </c>
      <c r="E249" s="6">
        <v>750.0</v>
      </c>
      <c r="F249" s="6">
        <v>0.0</v>
      </c>
      <c r="G249" s="6">
        <v>750.0</v>
      </c>
      <c r="H249" s="6">
        <v>0.0</v>
      </c>
      <c r="I249" s="6">
        <v>0.0</v>
      </c>
      <c r="J249" s="6">
        <v>750.0</v>
      </c>
      <c r="K249" s="6">
        <v>0.0</v>
      </c>
    </row>
    <row r="250" ht="15.75" customHeight="1">
      <c r="B250" s="6" t="s">
        <v>846</v>
      </c>
      <c r="C250" s="6" t="s">
        <v>847</v>
      </c>
      <c r="D250" s="6" t="s">
        <v>848</v>
      </c>
      <c r="E250" s="6">
        <v>600.0</v>
      </c>
      <c r="F250" s="6">
        <v>0.0</v>
      </c>
      <c r="G250" s="6">
        <v>600.0</v>
      </c>
      <c r="H250" s="6">
        <v>0.0</v>
      </c>
      <c r="I250" s="6">
        <v>0.0</v>
      </c>
      <c r="J250" s="6">
        <v>600.0</v>
      </c>
      <c r="K250" s="6">
        <v>0.0</v>
      </c>
    </row>
    <row r="251" ht="15.75" customHeight="1">
      <c r="E251" s="6">
        <f>SUM(E248:E250)</f>
        <v>1600</v>
      </c>
      <c r="G251" s="6">
        <f>SUM(G248:G250)</f>
        <v>1600</v>
      </c>
      <c r="J251" s="6">
        <f>SUM(J248:J250)</f>
        <v>1600</v>
      </c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ht="15.75" customHeight="1">
      <c r="A253" s="5">
        <v>45806.0</v>
      </c>
      <c r="B253" s="6" t="s">
        <v>253</v>
      </c>
      <c r="C253" s="6" t="s">
        <v>849</v>
      </c>
      <c r="D253" s="6" t="s">
        <v>144</v>
      </c>
      <c r="E253" s="6">
        <v>20.0</v>
      </c>
      <c r="F253" s="6">
        <v>20.0</v>
      </c>
    </row>
    <row r="254" ht="15.75" customHeight="1">
      <c r="B254" s="6" t="s">
        <v>572</v>
      </c>
      <c r="C254" s="6" t="s">
        <v>850</v>
      </c>
      <c r="D254" s="6" t="s">
        <v>376</v>
      </c>
      <c r="E254" s="6">
        <v>20.0</v>
      </c>
      <c r="G254" s="6">
        <v>20.0</v>
      </c>
    </row>
    <row r="255" ht="15.75" customHeight="1">
      <c r="B255" s="6" t="s">
        <v>851</v>
      </c>
      <c r="C255" s="6" t="s">
        <v>852</v>
      </c>
      <c r="D255" s="6" t="s">
        <v>853</v>
      </c>
      <c r="E255" s="6">
        <v>600.0</v>
      </c>
      <c r="F255" s="6">
        <v>0.0</v>
      </c>
      <c r="G255" s="6">
        <v>600.0</v>
      </c>
    </row>
    <row r="256" ht="15.75" customHeight="1">
      <c r="B256" s="6" t="s">
        <v>524</v>
      </c>
      <c r="C256" s="6" t="s">
        <v>854</v>
      </c>
      <c r="D256" s="6" t="s">
        <v>65</v>
      </c>
      <c r="E256" s="6">
        <v>1300.0</v>
      </c>
      <c r="F256" s="6">
        <v>0.0</v>
      </c>
      <c r="G256" s="6">
        <v>0.0</v>
      </c>
      <c r="H256" s="6">
        <v>1300.0</v>
      </c>
    </row>
    <row r="257" ht="15.75" customHeight="1">
      <c r="E257" s="6">
        <f>SUM(E253:E256)</f>
        <v>1940</v>
      </c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ht="15.75" customHeight="1">
      <c r="A259" s="5">
        <v>45807.0</v>
      </c>
      <c r="B259" s="6" t="s">
        <v>855</v>
      </c>
      <c r="C259" s="6" t="s">
        <v>856</v>
      </c>
      <c r="D259" s="6" t="s">
        <v>65</v>
      </c>
      <c r="E259" s="6">
        <v>750.0</v>
      </c>
      <c r="F259" s="6">
        <v>750.0</v>
      </c>
      <c r="G259" s="6">
        <v>0.0</v>
      </c>
      <c r="H259" s="6">
        <v>0.0</v>
      </c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ht="15.75" customHeight="1">
      <c r="A263" s="5">
        <v>45810.0</v>
      </c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P144:T144"/>
    <mergeCell ref="E178:E1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43.0"/>
    <col customWidth="1" min="4" max="6" width="12.63"/>
  </cols>
  <sheetData>
    <row r="1" ht="15.75" customHeight="1">
      <c r="A1" s="1"/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8"/>
      <c r="M1" s="18" t="s">
        <v>857</v>
      </c>
    </row>
    <row r="2" ht="15.75" customHeight="1">
      <c r="A2" s="5">
        <v>45810.0</v>
      </c>
      <c r="B2" s="6" t="s">
        <v>787</v>
      </c>
      <c r="C2" s="6" t="s">
        <v>858</v>
      </c>
      <c r="D2" s="6" t="s">
        <v>51</v>
      </c>
      <c r="E2" s="6">
        <v>250.0</v>
      </c>
      <c r="F2" s="6">
        <v>0.0</v>
      </c>
      <c r="G2" s="6">
        <v>250.0</v>
      </c>
      <c r="H2" s="6">
        <v>0.0</v>
      </c>
      <c r="I2" s="6">
        <v>0.0</v>
      </c>
      <c r="J2" s="6">
        <v>250.0</v>
      </c>
      <c r="K2" s="6">
        <v>0.0</v>
      </c>
      <c r="L2" s="19"/>
      <c r="M2" s="19"/>
      <c r="N2" s="19"/>
      <c r="O2" s="19"/>
      <c r="P2" s="19"/>
      <c r="Q2" s="19"/>
    </row>
    <row r="3" ht="15.75" customHeight="1">
      <c r="B3" s="6" t="s">
        <v>859</v>
      </c>
      <c r="C3" s="6" t="s">
        <v>169</v>
      </c>
      <c r="D3" s="6" t="s">
        <v>106</v>
      </c>
      <c r="E3" s="6">
        <v>500.0</v>
      </c>
      <c r="F3" s="6">
        <v>0.0</v>
      </c>
      <c r="G3" s="6">
        <v>500.0</v>
      </c>
      <c r="H3" s="6">
        <v>0.0</v>
      </c>
      <c r="I3" s="6">
        <v>0.0</v>
      </c>
      <c r="J3" s="6">
        <v>500.0</v>
      </c>
      <c r="K3" s="6">
        <v>0.0</v>
      </c>
      <c r="L3" s="19"/>
      <c r="M3" s="19" t="s">
        <v>717</v>
      </c>
      <c r="N3" s="19" t="s">
        <v>718</v>
      </c>
      <c r="O3" s="19" t="s">
        <v>719</v>
      </c>
      <c r="P3" s="19" t="s">
        <v>720</v>
      </c>
      <c r="Q3" s="19"/>
    </row>
    <row r="4" ht="15.75" customHeight="1">
      <c r="B4" s="6" t="s">
        <v>846</v>
      </c>
      <c r="C4" s="6" t="s">
        <v>860</v>
      </c>
      <c r="D4" s="6" t="s">
        <v>431</v>
      </c>
      <c r="E4" s="6">
        <v>100.0</v>
      </c>
      <c r="F4" s="6">
        <v>0.0</v>
      </c>
      <c r="G4" s="6">
        <v>100.0</v>
      </c>
      <c r="H4" s="6">
        <v>0.0</v>
      </c>
      <c r="I4" s="6">
        <v>0.0</v>
      </c>
      <c r="J4" s="6">
        <v>100.0</v>
      </c>
      <c r="K4" s="6">
        <v>0.0</v>
      </c>
      <c r="M4" s="6">
        <v>1120.0</v>
      </c>
      <c r="N4" s="6">
        <v>0.0</v>
      </c>
      <c r="O4" s="6">
        <v>1120.0</v>
      </c>
      <c r="P4" s="6">
        <v>0.0</v>
      </c>
    </row>
    <row r="5" ht="15.75" customHeight="1">
      <c r="B5" s="6" t="s">
        <v>861</v>
      </c>
      <c r="C5" s="6" t="s">
        <v>633</v>
      </c>
      <c r="D5" s="6" t="s">
        <v>51</v>
      </c>
      <c r="E5" s="6">
        <v>270.0</v>
      </c>
      <c r="F5" s="6">
        <v>0.0</v>
      </c>
      <c r="G5" s="6">
        <v>270.0</v>
      </c>
      <c r="H5" s="6">
        <v>0.0</v>
      </c>
      <c r="I5" s="6">
        <v>0.0</v>
      </c>
      <c r="J5" s="6">
        <v>270.0</v>
      </c>
      <c r="K5" s="6">
        <v>0.0</v>
      </c>
      <c r="M5" s="6">
        <v>1440.0</v>
      </c>
      <c r="N5" s="6">
        <v>920.0</v>
      </c>
      <c r="O5" s="6">
        <v>520.0</v>
      </c>
      <c r="P5" s="6">
        <v>0.0</v>
      </c>
    </row>
    <row r="6" ht="15.75" customHeight="1">
      <c r="E6" s="6">
        <f>SUM(E2:E5)</f>
        <v>1120</v>
      </c>
      <c r="F6" s="6">
        <v>0.0</v>
      </c>
      <c r="G6" s="6">
        <v>0.0</v>
      </c>
      <c r="H6" s="6">
        <v>0.0</v>
      </c>
      <c r="I6" s="6">
        <v>0.0</v>
      </c>
      <c r="J6" s="6">
        <v>1120.0</v>
      </c>
      <c r="K6" s="6">
        <v>0.0</v>
      </c>
      <c r="M6" s="6">
        <v>920.0</v>
      </c>
      <c r="N6" s="6">
        <v>350.0</v>
      </c>
      <c r="O6" s="6">
        <v>620.0</v>
      </c>
      <c r="P6" s="6">
        <v>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M7" s="6">
        <v>1720.0</v>
      </c>
      <c r="N7" s="6">
        <v>300.0</v>
      </c>
      <c r="O7" s="6">
        <v>1400.0</v>
      </c>
      <c r="P7" s="6">
        <v>0.0</v>
      </c>
    </row>
    <row r="8" ht="15.75" customHeight="1">
      <c r="A8" s="5">
        <v>45811.0</v>
      </c>
      <c r="B8" s="6" t="s">
        <v>821</v>
      </c>
      <c r="C8" s="6" t="s">
        <v>862</v>
      </c>
      <c r="D8" s="6" t="s">
        <v>291</v>
      </c>
      <c r="E8" s="6">
        <v>100.0</v>
      </c>
      <c r="F8" s="6">
        <v>100.0</v>
      </c>
      <c r="G8" s="6">
        <v>0.0</v>
      </c>
      <c r="H8" s="6">
        <v>0.0</v>
      </c>
      <c r="I8" s="6">
        <v>0.0</v>
      </c>
      <c r="J8" s="6">
        <v>100.0</v>
      </c>
      <c r="K8" s="6">
        <v>0.0</v>
      </c>
      <c r="M8" s="6">
        <v>670.0</v>
      </c>
      <c r="N8" s="6">
        <v>120.0</v>
      </c>
      <c r="O8" s="6">
        <v>300.0</v>
      </c>
      <c r="P8" s="6">
        <v>250.0</v>
      </c>
    </row>
    <row r="9" ht="15.75" customHeight="1">
      <c r="B9" s="6" t="s">
        <v>404</v>
      </c>
      <c r="C9" s="6" t="s">
        <v>863</v>
      </c>
      <c r="D9" s="6" t="s">
        <v>864</v>
      </c>
      <c r="E9" s="6">
        <v>20.0</v>
      </c>
      <c r="F9" s="6">
        <v>20.0</v>
      </c>
      <c r="G9" s="6">
        <v>0.0</v>
      </c>
      <c r="H9" s="6">
        <v>0.0</v>
      </c>
      <c r="I9" s="6">
        <v>0.0</v>
      </c>
      <c r="J9" s="6">
        <v>20.0</v>
      </c>
      <c r="K9" s="6">
        <v>0.0</v>
      </c>
      <c r="M9" s="6">
        <v>2200.0</v>
      </c>
      <c r="N9" s="6">
        <v>640.0</v>
      </c>
      <c r="O9" s="6">
        <v>1160.0</v>
      </c>
      <c r="P9" s="6">
        <v>200.0</v>
      </c>
    </row>
    <row r="10" ht="15.75" customHeight="1">
      <c r="B10" s="6" t="s">
        <v>833</v>
      </c>
      <c r="C10" s="6" t="s">
        <v>865</v>
      </c>
      <c r="D10" s="6" t="s">
        <v>866</v>
      </c>
      <c r="E10" s="6">
        <v>20.0</v>
      </c>
      <c r="F10" s="6">
        <v>0.0</v>
      </c>
      <c r="G10" s="6">
        <v>20.0</v>
      </c>
      <c r="H10" s="6">
        <v>0.0</v>
      </c>
      <c r="I10" s="6">
        <v>0.0</v>
      </c>
      <c r="J10" s="6">
        <v>20.0</v>
      </c>
      <c r="K10" s="6">
        <v>0.0</v>
      </c>
      <c r="M10" s="6">
        <v>2135.0</v>
      </c>
      <c r="N10" s="6">
        <v>450.0</v>
      </c>
      <c r="O10" s="6">
        <v>1685.0</v>
      </c>
      <c r="P10" s="6">
        <v>0.0</v>
      </c>
    </row>
    <row r="11" ht="15.75" customHeight="1">
      <c r="B11" s="6" t="s">
        <v>620</v>
      </c>
      <c r="C11" s="6" t="s">
        <v>867</v>
      </c>
      <c r="D11" s="6" t="s">
        <v>224</v>
      </c>
      <c r="E11" s="6">
        <v>350.0</v>
      </c>
      <c r="F11" s="6">
        <v>350.0</v>
      </c>
      <c r="G11" s="6">
        <v>0.0</v>
      </c>
      <c r="H11" s="6">
        <v>0.0</v>
      </c>
      <c r="I11" s="6">
        <v>0.0</v>
      </c>
      <c r="J11" s="6">
        <v>350.0</v>
      </c>
      <c r="K11" s="6">
        <v>0.0</v>
      </c>
      <c r="M11" s="6">
        <v>220.0</v>
      </c>
      <c r="N11" s="6">
        <v>120.0</v>
      </c>
      <c r="O11" s="6">
        <v>50.0</v>
      </c>
      <c r="P11" s="6">
        <v>50.0</v>
      </c>
    </row>
    <row r="12" ht="15.75" customHeight="1">
      <c r="B12" s="6" t="s">
        <v>622</v>
      </c>
      <c r="C12" s="6" t="s">
        <v>868</v>
      </c>
      <c r="D12" s="6" t="s">
        <v>869</v>
      </c>
      <c r="E12" s="6">
        <v>500.0</v>
      </c>
      <c r="F12" s="6">
        <v>0.0</v>
      </c>
      <c r="G12" s="6">
        <v>500.0</v>
      </c>
      <c r="H12" s="6">
        <v>0.0</v>
      </c>
      <c r="I12" s="6">
        <v>0.0</v>
      </c>
      <c r="J12" s="6">
        <v>500.0</v>
      </c>
      <c r="K12" s="6">
        <v>0.0</v>
      </c>
      <c r="M12" s="6">
        <v>470.0</v>
      </c>
      <c r="N12" s="6">
        <v>100.0</v>
      </c>
      <c r="O12" s="6">
        <v>320.0</v>
      </c>
      <c r="P12" s="6">
        <v>50.0</v>
      </c>
    </row>
    <row r="13" ht="15.75" customHeight="1">
      <c r="B13" s="6" t="s">
        <v>870</v>
      </c>
      <c r="C13" s="6" t="s">
        <v>871</v>
      </c>
      <c r="D13" s="6" t="s">
        <v>799</v>
      </c>
      <c r="E13" s="6">
        <v>450.0</v>
      </c>
      <c r="F13" s="6">
        <v>450.0</v>
      </c>
      <c r="G13" s="6">
        <v>0.0</v>
      </c>
      <c r="H13" s="6">
        <v>0.0</v>
      </c>
      <c r="I13" s="6">
        <v>0.0</v>
      </c>
      <c r="J13" s="6">
        <v>450.0</v>
      </c>
      <c r="K13" s="6">
        <v>0.0</v>
      </c>
      <c r="M13" s="6">
        <v>2945.0</v>
      </c>
      <c r="N13" s="6">
        <v>770.0</v>
      </c>
      <c r="O13" s="6">
        <v>2175.0</v>
      </c>
      <c r="P13" s="6">
        <v>0.0</v>
      </c>
    </row>
    <row r="14" ht="15.75" customHeight="1">
      <c r="E14" s="6">
        <f t="shared" ref="E14:J14" si="1">SUM(E8:E13)</f>
        <v>1440</v>
      </c>
      <c r="F14" s="6">
        <f t="shared" si="1"/>
        <v>920</v>
      </c>
      <c r="G14" s="6">
        <f t="shared" si="1"/>
        <v>520</v>
      </c>
      <c r="H14" s="6">
        <f t="shared" si="1"/>
        <v>0</v>
      </c>
      <c r="I14" s="6">
        <f t="shared" si="1"/>
        <v>0</v>
      </c>
      <c r="J14" s="6">
        <f t="shared" si="1"/>
        <v>1440</v>
      </c>
      <c r="M14" s="6">
        <v>370.0</v>
      </c>
      <c r="N14" s="6">
        <v>0.0</v>
      </c>
      <c r="O14" s="6">
        <v>370.0</v>
      </c>
      <c r="P14" s="6">
        <v>0.0</v>
      </c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M15" s="6">
        <v>2950.0</v>
      </c>
      <c r="N15" s="6">
        <v>2000.0</v>
      </c>
      <c r="O15" s="6">
        <v>950.0</v>
      </c>
      <c r="P15" s="6">
        <v>0.0</v>
      </c>
    </row>
    <row r="16" ht="15.75" customHeight="1">
      <c r="A16" s="5">
        <v>45812.0</v>
      </c>
      <c r="B16" s="6"/>
      <c r="C16" s="6" t="s">
        <v>872</v>
      </c>
      <c r="D16" s="6" t="s">
        <v>873</v>
      </c>
      <c r="E16" s="6">
        <v>300.0</v>
      </c>
      <c r="F16" s="6">
        <v>300.0</v>
      </c>
      <c r="G16" s="6">
        <v>0.0</v>
      </c>
      <c r="H16" s="6">
        <v>0.0</v>
      </c>
      <c r="I16" s="6">
        <v>0.0</v>
      </c>
      <c r="J16" s="6">
        <v>300.0</v>
      </c>
      <c r="K16" s="6">
        <v>0.0</v>
      </c>
      <c r="M16" s="6">
        <v>1500.0</v>
      </c>
      <c r="N16" s="6">
        <v>0.0</v>
      </c>
      <c r="O16" s="6">
        <v>0.0</v>
      </c>
      <c r="P16" s="6">
        <v>1500.0</v>
      </c>
    </row>
    <row r="17" ht="15.75" customHeight="1">
      <c r="B17" s="6" t="s">
        <v>572</v>
      </c>
      <c r="C17" s="6" t="s">
        <v>874</v>
      </c>
      <c r="D17" s="6" t="s">
        <v>875</v>
      </c>
      <c r="E17" s="6">
        <v>220.0</v>
      </c>
      <c r="F17" s="6">
        <v>0.0</v>
      </c>
      <c r="G17" s="6">
        <v>220.0</v>
      </c>
      <c r="H17" s="6">
        <v>0.0</v>
      </c>
      <c r="I17" s="6">
        <v>0.0</v>
      </c>
      <c r="J17" s="6">
        <v>220.0</v>
      </c>
      <c r="K17" s="6">
        <v>0.0</v>
      </c>
      <c r="M17" s="6">
        <v>550.0</v>
      </c>
      <c r="N17" s="6">
        <v>300.0</v>
      </c>
      <c r="O17" s="6">
        <v>250.0</v>
      </c>
      <c r="P17" s="6">
        <v>0.0</v>
      </c>
    </row>
    <row r="18" ht="15.75" customHeight="1">
      <c r="B18" s="6" t="s">
        <v>307</v>
      </c>
      <c r="C18" s="6" t="s">
        <v>876</v>
      </c>
      <c r="D18" s="6" t="s">
        <v>337</v>
      </c>
      <c r="E18" s="6">
        <v>200.0</v>
      </c>
      <c r="F18" s="6">
        <v>0.0</v>
      </c>
      <c r="G18" s="6">
        <v>200.0</v>
      </c>
      <c r="H18" s="6">
        <v>0.0</v>
      </c>
      <c r="I18" s="6">
        <v>0.0</v>
      </c>
      <c r="J18" s="6">
        <v>200.0</v>
      </c>
      <c r="K18" s="6">
        <v>0.0</v>
      </c>
      <c r="M18" s="6">
        <v>2250.0</v>
      </c>
      <c r="N18" s="6">
        <v>1250.0</v>
      </c>
      <c r="O18" s="6">
        <v>1000.0</v>
      </c>
      <c r="P18" s="6">
        <v>0.0</v>
      </c>
    </row>
    <row r="19" ht="15.75" customHeight="1">
      <c r="B19" s="6" t="s">
        <v>66</v>
      </c>
      <c r="C19" s="6" t="s">
        <v>877</v>
      </c>
      <c r="D19" s="6" t="s">
        <v>337</v>
      </c>
      <c r="E19" s="6">
        <v>200.0</v>
      </c>
      <c r="F19" s="6">
        <v>50.0</v>
      </c>
      <c r="G19" s="6">
        <v>200.0</v>
      </c>
      <c r="H19" s="6">
        <v>0.0</v>
      </c>
      <c r="I19" s="6">
        <v>0.0</v>
      </c>
      <c r="J19" s="6">
        <v>200.0</v>
      </c>
      <c r="K19" s="6">
        <v>0.0</v>
      </c>
      <c r="M19" s="6">
        <v>1800.0</v>
      </c>
      <c r="N19" s="6">
        <v>0.0</v>
      </c>
      <c r="O19" s="6">
        <v>1800.0</v>
      </c>
      <c r="P19" s="6">
        <v>0.0</v>
      </c>
    </row>
    <row r="20" ht="15.75" customHeight="1">
      <c r="E20" s="6">
        <f t="shared" ref="E20:H20" si="2">SUM(E16:E19)</f>
        <v>920</v>
      </c>
      <c r="F20" s="6">
        <f t="shared" si="2"/>
        <v>350</v>
      </c>
      <c r="G20" s="6">
        <f t="shared" si="2"/>
        <v>620</v>
      </c>
      <c r="H20" s="6">
        <f t="shared" si="2"/>
        <v>0</v>
      </c>
      <c r="J20" s="6">
        <f>SUM(J16:J19)</f>
        <v>920</v>
      </c>
      <c r="M20" s="6">
        <f>SUM(M4:M19)</f>
        <v>23260</v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5.75" customHeight="1">
      <c r="A22" s="5">
        <v>45813.0</v>
      </c>
      <c r="B22" s="6" t="s">
        <v>28</v>
      </c>
      <c r="C22" s="6" t="s">
        <v>878</v>
      </c>
      <c r="D22" s="6" t="s">
        <v>548</v>
      </c>
      <c r="E22" s="6">
        <v>400.0</v>
      </c>
      <c r="F22" s="6">
        <v>0.0</v>
      </c>
      <c r="G22" s="6">
        <v>400.0</v>
      </c>
      <c r="H22" s="6">
        <v>0.0</v>
      </c>
      <c r="I22" s="6">
        <v>0.0</v>
      </c>
      <c r="J22" s="6">
        <v>400.0</v>
      </c>
      <c r="K22" s="6">
        <v>0.0</v>
      </c>
    </row>
    <row r="23" ht="15.75" customHeight="1">
      <c r="B23" s="6" t="s">
        <v>879</v>
      </c>
      <c r="C23" s="6" t="s">
        <v>880</v>
      </c>
      <c r="D23" s="6" t="s">
        <v>881</v>
      </c>
      <c r="E23" s="6">
        <v>570.0</v>
      </c>
      <c r="F23" s="6">
        <v>0.0</v>
      </c>
      <c r="G23" s="6">
        <v>550.0</v>
      </c>
      <c r="H23" s="6">
        <v>0.0</v>
      </c>
      <c r="I23" s="6">
        <v>0.0</v>
      </c>
      <c r="J23" s="6">
        <v>550.0</v>
      </c>
      <c r="K23" s="6">
        <v>0.0</v>
      </c>
    </row>
    <row r="24" ht="15.75" customHeight="1">
      <c r="B24" s="6" t="s">
        <v>882</v>
      </c>
      <c r="C24" s="6" t="s">
        <v>883</v>
      </c>
      <c r="D24" s="6" t="s">
        <v>884</v>
      </c>
      <c r="E24" s="6">
        <v>450.0</v>
      </c>
      <c r="F24" s="6">
        <v>0.0</v>
      </c>
      <c r="G24" s="6">
        <v>450.0</v>
      </c>
      <c r="H24" s="6">
        <v>0.0</v>
      </c>
      <c r="I24" s="6">
        <v>0.0</v>
      </c>
      <c r="J24" s="6">
        <v>450.0</v>
      </c>
      <c r="K24" s="6">
        <v>0.0</v>
      </c>
    </row>
    <row r="25" ht="15.75" customHeight="1">
      <c r="B25" s="6" t="s">
        <v>823</v>
      </c>
      <c r="C25" s="6" t="s">
        <v>885</v>
      </c>
      <c r="D25" s="6" t="s">
        <v>51</v>
      </c>
      <c r="E25" s="6">
        <v>300.0</v>
      </c>
      <c r="F25" s="6">
        <v>300.0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</row>
    <row r="26" ht="15.75" customHeight="1">
      <c r="E26" s="6">
        <f>SUM(E22:E25)</f>
        <v>1720</v>
      </c>
      <c r="F26" s="6">
        <v>300.0</v>
      </c>
      <c r="G26" s="6">
        <f>SUM(G22:G25)</f>
        <v>1400</v>
      </c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ht="15.75" customHeight="1">
      <c r="A30" s="5">
        <v>45817.0</v>
      </c>
      <c r="B30" s="6" t="s">
        <v>886</v>
      </c>
      <c r="C30" s="6" t="s">
        <v>887</v>
      </c>
      <c r="D30" s="6" t="s">
        <v>291</v>
      </c>
      <c r="E30" s="6">
        <v>120.0</v>
      </c>
      <c r="F30" s="6">
        <v>120.0</v>
      </c>
      <c r="G30" s="6">
        <v>0.0</v>
      </c>
      <c r="H30" s="6">
        <v>0.0</v>
      </c>
      <c r="I30" s="6">
        <v>0.0</v>
      </c>
      <c r="J30" s="6">
        <v>120.0</v>
      </c>
      <c r="K30" s="6">
        <v>0.0</v>
      </c>
    </row>
    <row r="31" ht="15.75" customHeight="1">
      <c r="B31" s="6" t="s">
        <v>888</v>
      </c>
      <c r="C31" s="6" t="s">
        <v>889</v>
      </c>
      <c r="D31" s="6" t="s">
        <v>224</v>
      </c>
      <c r="E31" s="6">
        <v>300.0</v>
      </c>
      <c r="F31" s="6">
        <v>0.0</v>
      </c>
      <c r="G31" s="6">
        <v>300.0</v>
      </c>
      <c r="H31" s="6">
        <v>0.0</v>
      </c>
      <c r="I31" s="6">
        <v>0.0</v>
      </c>
      <c r="J31" s="6">
        <v>300.0</v>
      </c>
      <c r="K31" s="6">
        <v>0.0</v>
      </c>
    </row>
    <row r="32" ht="15.75" customHeight="1">
      <c r="E32" s="6">
        <v>420.0</v>
      </c>
      <c r="F32" s="6">
        <v>120.0</v>
      </c>
      <c r="G32" s="6">
        <v>300.0</v>
      </c>
      <c r="H32" s="6">
        <v>0.0</v>
      </c>
      <c r="I32" s="6">
        <v>0.0</v>
      </c>
      <c r="J32" s="6">
        <v>420.0</v>
      </c>
      <c r="K32" s="6">
        <v>0.0</v>
      </c>
    </row>
    <row r="33" ht="15.75" customHeight="1">
      <c r="A33" s="6" t="s">
        <v>826</v>
      </c>
      <c r="B33" s="6" t="s">
        <v>28</v>
      </c>
      <c r="C33" s="6" t="s">
        <v>890</v>
      </c>
      <c r="D33" s="6" t="s">
        <v>337</v>
      </c>
      <c r="E33" s="6">
        <v>250.0</v>
      </c>
      <c r="F33" s="6">
        <v>0.0</v>
      </c>
      <c r="G33" s="6">
        <v>0.0</v>
      </c>
      <c r="H33" s="6">
        <v>250.0</v>
      </c>
      <c r="I33" s="6">
        <v>0.0</v>
      </c>
      <c r="J33" s="6">
        <v>250.0</v>
      </c>
      <c r="K33" s="6">
        <v>0.0</v>
      </c>
    </row>
    <row r="34" ht="15.75" customHeight="1">
      <c r="C34" s="6" t="s">
        <v>891</v>
      </c>
      <c r="E34" s="6">
        <f>SUM(E32:E33)</f>
        <v>670</v>
      </c>
      <c r="F34" s="6">
        <v>120.0</v>
      </c>
      <c r="G34" s="6">
        <v>300.0</v>
      </c>
      <c r="H34" s="6">
        <v>250.0</v>
      </c>
      <c r="I34" s="6">
        <v>0.0</v>
      </c>
      <c r="J34" s="6">
        <v>670.0</v>
      </c>
      <c r="K34" s="6">
        <v>0.0</v>
      </c>
    </row>
    <row r="35" ht="15.75" customHeight="1"/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75" customHeight="1">
      <c r="A37" s="5">
        <v>45818.0</v>
      </c>
      <c r="B37" s="6" t="s">
        <v>892</v>
      </c>
      <c r="C37" s="6" t="s">
        <v>893</v>
      </c>
      <c r="D37" s="6" t="s">
        <v>152</v>
      </c>
      <c r="E37" s="6">
        <v>200.0</v>
      </c>
      <c r="F37" s="6">
        <v>0.0</v>
      </c>
      <c r="G37" s="6">
        <v>0.0</v>
      </c>
      <c r="H37" s="6">
        <v>0.0</v>
      </c>
      <c r="I37" s="6">
        <v>0.0</v>
      </c>
      <c r="J37" s="6">
        <v>200.0</v>
      </c>
      <c r="K37" s="6">
        <v>0.0</v>
      </c>
    </row>
    <row r="38" ht="15.75" customHeight="1">
      <c r="B38" s="6" t="s">
        <v>833</v>
      </c>
      <c r="C38" s="6" t="s">
        <v>894</v>
      </c>
      <c r="D38" s="6" t="s">
        <v>376</v>
      </c>
      <c r="E38" s="6">
        <v>60.0</v>
      </c>
      <c r="F38" s="6">
        <v>0.0</v>
      </c>
      <c r="G38" s="6">
        <v>60.0</v>
      </c>
      <c r="H38" s="6">
        <v>0.0</v>
      </c>
      <c r="I38" s="6">
        <v>0.0</v>
      </c>
      <c r="J38" s="6">
        <v>60.0</v>
      </c>
      <c r="K38" s="6">
        <v>0.0</v>
      </c>
    </row>
    <row r="39" ht="15.75" customHeight="1">
      <c r="B39" s="6" t="s">
        <v>895</v>
      </c>
      <c r="C39" s="6" t="s">
        <v>896</v>
      </c>
      <c r="D39" s="6" t="s">
        <v>897</v>
      </c>
      <c r="E39" s="6">
        <v>600.0</v>
      </c>
      <c r="F39" s="6">
        <v>0.0</v>
      </c>
      <c r="G39" s="6">
        <v>600.0</v>
      </c>
      <c r="H39" s="6">
        <v>0.0</v>
      </c>
      <c r="I39" s="6">
        <v>0.0</v>
      </c>
      <c r="J39" s="6">
        <v>600.0</v>
      </c>
      <c r="K39" s="6">
        <v>0.0</v>
      </c>
    </row>
    <row r="40" ht="15.75" customHeight="1">
      <c r="B40" s="6" t="s">
        <v>898</v>
      </c>
      <c r="C40" s="6" t="s">
        <v>899</v>
      </c>
      <c r="D40" s="6" t="s">
        <v>825</v>
      </c>
      <c r="E40" s="6">
        <v>500.0</v>
      </c>
      <c r="F40" s="6">
        <v>0.0</v>
      </c>
      <c r="G40" s="6">
        <v>500.0</v>
      </c>
      <c r="H40" s="6">
        <v>0.0</v>
      </c>
      <c r="I40" s="6">
        <v>0.0</v>
      </c>
      <c r="J40" s="6">
        <v>500.0</v>
      </c>
      <c r="K40" s="6">
        <v>180.0</v>
      </c>
    </row>
    <row r="41" ht="15.75" customHeight="1">
      <c r="B41" s="6" t="s">
        <v>271</v>
      </c>
      <c r="C41" s="6" t="s">
        <v>900</v>
      </c>
      <c r="D41" s="6" t="s">
        <v>901</v>
      </c>
      <c r="E41" s="6">
        <v>640.0</v>
      </c>
      <c r="F41" s="6">
        <v>640.0</v>
      </c>
      <c r="G41" s="6">
        <v>0.0</v>
      </c>
      <c r="H41" s="6">
        <v>0.0</v>
      </c>
      <c r="I41" s="6">
        <v>0.0</v>
      </c>
      <c r="J41" s="6">
        <v>280.0</v>
      </c>
      <c r="K41" s="6">
        <v>0.0</v>
      </c>
    </row>
    <row r="42" ht="15.75" customHeight="1">
      <c r="B42" s="6" t="s">
        <v>208</v>
      </c>
      <c r="C42" s="6" t="s">
        <v>902</v>
      </c>
      <c r="D42" s="6" t="s">
        <v>337</v>
      </c>
      <c r="E42" s="6">
        <v>200.0</v>
      </c>
      <c r="F42" s="6">
        <v>0.0</v>
      </c>
      <c r="G42" s="6">
        <v>0.0</v>
      </c>
      <c r="H42" s="6">
        <v>200.0</v>
      </c>
      <c r="I42" s="6">
        <v>0.0</v>
      </c>
      <c r="J42" s="6">
        <v>200.0</v>
      </c>
      <c r="K42" s="6">
        <v>0.0</v>
      </c>
    </row>
    <row r="43" ht="15.75" customHeight="1">
      <c r="E43" s="6">
        <f t="shared" ref="E43:G43" si="3">SUM(E37:E42)</f>
        <v>2200</v>
      </c>
      <c r="F43" s="6">
        <f t="shared" si="3"/>
        <v>640</v>
      </c>
      <c r="G43" s="6">
        <f t="shared" si="3"/>
        <v>1160</v>
      </c>
      <c r="H43" s="6">
        <v>200.0</v>
      </c>
      <c r="I43" s="6">
        <v>0.0</v>
      </c>
      <c r="J43" s="6">
        <f>SUM(J37:J42)</f>
        <v>1840</v>
      </c>
      <c r="K43" s="6">
        <v>180.0</v>
      </c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N44" s="6"/>
    </row>
    <row r="45" ht="15.75" customHeight="1">
      <c r="A45" s="5">
        <v>45819.0</v>
      </c>
      <c r="B45" s="6" t="s">
        <v>68</v>
      </c>
      <c r="C45" s="6" t="s">
        <v>903</v>
      </c>
      <c r="D45" s="6" t="s">
        <v>337</v>
      </c>
      <c r="E45" s="6">
        <v>450.0</v>
      </c>
      <c r="F45" s="6">
        <v>450.0</v>
      </c>
      <c r="G45" s="6">
        <v>0.0</v>
      </c>
      <c r="H45" s="6">
        <v>0.0</v>
      </c>
      <c r="I45" s="6">
        <v>0.0</v>
      </c>
      <c r="J45" s="6">
        <v>450.0</v>
      </c>
      <c r="K45" s="6">
        <v>0.0</v>
      </c>
      <c r="N45" s="6"/>
    </row>
    <row r="46" ht="15.75" customHeight="1">
      <c r="B46" s="6" t="s">
        <v>542</v>
      </c>
      <c r="C46" s="6" t="s">
        <v>904</v>
      </c>
      <c r="D46" s="6" t="s">
        <v>905</v>
      </c>
      <c r="E46" s="6">
        <v>350.0</v>
      </c>
      <c r="F46" s="6">
        <v>0.0</v>
      </c>
      <c r="G46" s="6">
        <v>350.0</v>
      </c>
      <c r="H46" s="6">
        <v>0.0</v>
      </c>
      <c r="I46" s="6">
        <v>0.0</v>
      </c>
      <c r="J46" s="6">
        <v>350.0</v>
      </c>
      <c r="K46" s="6">
        <v>0.0</v>
      </c>
    </row>
    <row r="47" ht="15.75" customHeight="1">
      <c r="B47" s="6" t="s">
        <v>906</v>
      </c>
      <c r="C47" s="6" t="s">
        <v>907</v>
      </c>
      <c r="D47" s="6" t="s">
        <v>337</v>
      </c>
      <c r="E47" s="6">
        <v>400.0</v>
      </c>
      <c r="F47" s="6">
        <v>0.0</v>
      </c>
      <c r="G47" s="6">
        <v>400.0</v>
      </c>
      <c r="H47" s="6">
        <v>0.0</v>
      </c>
      <c r="I47" s="6">
        <v>0.0</v>
      </c>
      <c r="J47" s="6">
        <v>400.0</v>
      </c>
      <c r="K47" s="6">
        <v>0.0</v>
      </c>
    </row>
    <row r="48" ht="15.75" customHeight="1">
      <c r="B48" s="6" t="s">
        <v>347</v>
      </c>
      <c r="C48" s="6" t="s">
        <v>908</v>
      </c>
      <c r="D48" s="6" t="s">
        <v>909</v>
      </c>
      <c r="E48" s="6">
        <v>400.0</v>
      </c>
      <c r="F48" s="6">
        <v>0.0</v>
      </c>
      <c r="G48" s="6">
        <v>400.0</v>
      </c>
      <c r="H48" s="6">
        <v>0.0</v>
      </c>
      <c r="I48" s="6">
        <v>0.0</v>
      </c>
      <c r="J48" s="6">
        <v>400.0</v>
      </c>
      <c r="K48" s="6">
        <v>0.0</v>
      </c>
    </row>
    <row r="49" ht="15.75" customHeight="1">
      <c r="B49" s="6" t="s">
        <v>698</v>
      </c>
      <c r="C49" s="6" t="s">
        <v>910</v>
      </c>
      <c r="D49" s="6" t="s">
        <v>296</v>
      </c>
      <c r="E49" s="6">
        <v>500.0</v>
      </c>
      <c r="F49" s="6">
        <v>0.0</v>
      </c>
      <c r="G49" s="6">
        <v>500.0</v>
      </c>
      <c r="H49" s="6">
        <v>0.0</v>
      </c>
      <c r="I49" s="6">
        <v>0.0</v>
      </c>
      <c r="J49" s="6">
        <v>500.0</v>
      </c>
      <c r="K49" s="6">
        <v>0.0</v>
      </c>
    </row>
    <row r="50" ht="15.75" customHeight="1">
      <c r="B50" s="6" t="s">
        <v>911</v>
      </c>
      <c r="C50" s="6" t="s">
        <v>912</v>
      </c>
      <c r="D50" s="6" t="s">
        <v>913</v>
      </c>
      <c r="E50" s="6">
        <v>35.0</v>
      </c>
      <c r="F50" s="6">
        <v>0.0</v>
      </c>
      <c r="G50" s="6">
        <v>35.0</v>
      </c>
      <c r="H50" s="6">
        <v>0.0</v>
      </c>
      <c r="I50" s="6">
        <v>0.0</v>
      </c>
      <c r="J50" s="6">
        <v>35.0</v>
      </c>
      <c r="K50" s="6">
        <v>0.0</v>
      </c>
    </row>
    <row r="51" ht="15.75" customHeight="1">
      <c r="E51" s="6">
        <f t="shared" ref="E51:J51" si="4">SUM(E45:E50)</f>
        <v>2135</v>
      </c>
      <c r="F51" s="6">
        <f t="shared" si="4"/>
        <v>450</v>
      </c>
      <c r="G51" s="22">
        <f t="shared" si="4"/>
        <v>1685</v>
      </c>
      <c r="H51" s="6">
        <f t="shared" si="4"/>
        <v>0</v>
      </c>
      <c r="I51" s="6">
        <f t="shared" si="4"/>
        <v>0</v>
      </c>
      <c r="J51" s="6">
        <f t="shared" si="4"/>
        <v>2135</v>
      </c>
      <c r="K51" s="6">
        <v>0.0</v>
      </c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ht="15.75" customHeight="1">
      <c r="A53" s="5">
        <v>45820.0</v>
      </c>
      <c r="B53" s="6" t="s">
        <v>821</v>
      </c>
      <c r="C53" s="6" t="s">
        <v>914</v>
      </c>
      <c r="D53" s="6" t="s">
        <v>291</v>
      </c>
      <c r="E53" s="6">
        <v>100.0</v>
      </c>
      <c r="F53" s="6">
        <v>100.0</v>
      </c>
      <c r="G53" s="6">
        <v>0.0</v>
      </c>
      <c r="H53" s="6">
        <v>0.0</v>
      </c>
      <c r="I53" s="6">
        <v>0.0</v>
      </c>
      <c r="J53" s="6">
        <v>100.0</v>
      </c>
      <c r="K53" s="6">
        <v>0.0</v>
      </c>
    </row>
    <row r="54" ht="15.75" customHeight="1">
      <c r="B54" s="6" t="s">
        <v>572</v>
      </c>
      <c r="C54" s="6" t="s">
        <v>915</v>
      </c>
      <c r="D54" s="6" t="s">
        <v>428</v>
      </c>
      <c r="E54" s="6">
        <v>20.0</v>
      </c>
      <c r="F54" s="6">
        <v>20.0</v>
      </c>
      <c r="G54" s="6">
        <v>0.0</v>
      </c>
      <c r="H54" s="6">
        <v>0.0</v>
      </c>
      <c r="I54" s="6">
        <v>0.0</v>
      </c>
      <c r="J54" s="6">
        <v>20.0</v>
      </c>
      <c r="K54" s="6">
        <v>0.0</v>
      </c>
    </row>
    <row r="55" ht="15.75" customHeight="1">
      <c r="B55" s="6" t="s">
        <v>916</v>
      </c>
      <c r="C55" s="6" t="s">
        <v>917</v>
      </c>
      <c r="D55" s="6" t="s">
        <v>918</v>
      </c>
      <c r="E55" s="6">
        <v>50.0</v>
      </c>
      <c r="F55" s="6">
        <v>0.0</v>
      </c>
      <c r="G55" s="6">
        <v>50.0</v>
      </c>
      <c r="H55" s="6">
        <v>0.0</v>
      </c>
      <c r="I55" s="6">
        <v>0.0</v>
      </c>
      <c r="J55" s="6">
        <v>50.0</v>
      </c>
      <c r="K55" s="6">
        <v>0.0</v>
      </c>
    </row>
    <row r="56" ht="15.75" customHeight="1">
      <c r="B56" s="6" t="s">
        <v>919</v>
      </c>
      <c r="C56" s="6" t="s">
        <v>423</v>
      </c>
      <c r="D56" s="6" t="s">
        <v>65</v>
      </c>
      <c r="E56" s="6">
        <v>50.0</v>
      </c>
      <c r="F56" s="6">
        <v>0.0</v>
      </c>
      <c r="G56" s="6">
        <v>0.0</v>
      </c>
      <c r="H56" s="6">
        <v>50.0</v>
      </c>
      <c r="I56" s="6">
        <v>0.0</v>
      </c>
      <c r="J56" s="6">
        <v>50.0</v>
      </c>
      <c r="K56" s="6">
        <v>0.0</v>
      </c>
    </row>
    <row r="57" ht="15.75" customHeight="1">
      <c r="E57" s="6">
        <f t="shared" ref="E57:K57" si="5">SUM(E53:E56)</f>
        <v>220</v>
      </c>
      <c r="F57" s="6">
        <f t="shared" si="5"/>
        <v>120</v>
      </c>
      <c r="G57" s="22">
        <f t="shared" si="5"/>
        <v>50</v>
      </c>
      <c r="H57" s="22">
        <f t="shared" si="5"/>
        <v>50</v>
      </c>
      <c r="I57" s="6">
        <f t="shared" si="5"/>
        <v>0</v>
      </c>
      <c r="J57" s="6">
        <f t="shared" si="5"/>
        <v>220</v>
      </c>
      <c r="K57" s="6">
        <f t="shared" si="5"/>
        <v>0</v>
      </c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 t="s">
        <v>920</v>
      </c>
    </row>
    <row r="59" ht="15.75" customHeight="1">
      <c r="A59" s="5">
        <v>45824.0</v>
      </c>
      <c r="B59" s="6" t="s">
        <v>821</v>
      </c>
      <c r="C59" s="6" t="s">
        <v>921</v>
      </c>
      <c r="D59" s="6" t="s">
        <v>291</v>
      </c>
      <c r="E59" s="6">
        <v>100.0</v>
      </c>
      <c r="F59" s="6">
        <v>100.0</v>
      </c>
      <c r="G59" s="6">
        <v>0.0</v>
      </c>
      <c r="H59" s="6">
        <v>0.0</v>
      </c>
      <c r="I59" s="6">
        <v>0.0</v>
      </c>
      <c r="J59" s="6">
        <v>100.0</v>
      </c>
      <c r="K59" s="6">
        <v>0.0</v>
      </c>
    </row>
    <row r="60" ht="15.75" customHeight="1">
      <c r="B60" s="6" t="s">
        <v>584</v>
      </c>
      <c r="C60" s="6" t="s">
        <v>922</v>
      </c>
      <c r="D60" s="6" t="s">
        <v>51</v>
      </c>
      <c r="E60" s="6">
        <v>320.0</v>
      </c>
      <c r="F60" s="6">
        <v>0.0</v>
      </c>
      <c r="G60" s="22">
        <v>320.0</v>
      </c>
      <c r="H60" s="6">
        <v>0.0</v>
      </c>
      <c r="I60" s="6">
        <v>0.0</v>
      </c>
      <c r="J60" s="6">
        <v>320.0</v>
      </c>
      <c r="K60" s="6">
        <v>0.0</v>
      </c>
    </row>
    <row r="61" ht="15.75" customHeight="1">
      <c r="B61" s="6" t="s">
        <v>923</v>
      </c>
      <c r="C61" s="6" t="s">
        <v>924</v>
      </c>
      <c r="D61" s="6" t="s">
        <v>65</v>
      </c>
      <c r="E61" s="6">
        <v>50.0</v>
      </c>
      <c r="F61" s="6">
        <v>0.0</v>
      </c>
      <c r="G61" s="6">
        <v>0.0</v>
      </c>
      <c r="H61" s="22">
        <v>50.0</v>
      </c>
      <c r="I61" s="6">
        <v>0.0</v>
      </c>
      <c r="J61" s="6">
        <v>50.0</v>
      </c>
      <c r="K61" s="6">
        <v>0.0</v>
      </c>
    </row>
    <row r="62" ht="15.75" customHeight="1">
      <c r="E62" s="6">
        <f t="shared" ref="E62:F62" si="6">SUM(E59:E61)</f>
        <v>470</v>
      </c>
      <c r="F62" s="6">
        <f t="shared" si="6"/>
        <v>100</v>
      </c>
      <c r="G62" s="6">
        <v>320.0</v>
      </c>
      <c r="H62" s="6">
        <v>50.0</v>
      </c>
      <c r="I62" s="6">
        <v>0.0</v>
      </c>
      <c r="J62" s="6">
        <f>SUM(J59:J61)</f>
        <v>470</v>
      </c>
      <c r="K62" s="6">
        <v>0.0</v>
      </c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ht="15.75" customHeight="1">
      <c r="A64" s="5">
        <v>45825.0</v>
      </c>
      <c r="B64" s="6" t="s">
        <v>925</v>
      </c>
      <c r="C64" s="6" t="s">
        <v>926</v>
      </c>
      <c r="D64" s="6" t="s">
        <v>927</v>
      </c>
      <c r="E64" s="6">
        <v>120.0</v>
      </c>
      <c r="F64" s="6">
        <v>0.0</v>
      </c>
      <c r="G64" s="22">
        <v>120.0</v>
      </c>
      <c r="H64" s="6">
        <v>0.0</v>
      </c>
      <c r="I64" s="6">
        <v>0.0</v>
      </c>
      <c r="J64" s="6">
        <v>120.0</v>
      </c>
      <c r="K64" s="6">
        <v>0.0</v>
      </c>
    </row>
    <row r="65" ht="15.75" customHeight="1">
      <c r="B65" s="6" t="s">
        <v>928</v>
      </c>
      <c r="C65" s="6" t="s">
        <v>929</v>
      </c>
      <c r="D65" s="6" t="s">
        <v>337</v>
      </c>
      <c r="E65" s="6">
        <v>250.0</v>
      </c>
      <c r="F65" s="6">
        <v>0.0</v>
      </c>
      <c r="G65" s="22">
        <v>250.0</v>
      </c>
      <c r="H65" s="6">
        <v>0.0</v>
      </c>
      <c r="I65" s="6">
        <v>0.0</v>
      </c>
      <c r="J65" s="6">
        <v>250.0</v>
      </c>
      <c r="K65" s="6">
        <v>0.0</v>
      </c>
    </row>
    <row r="66" ht="15.75" customHeight="1">
      <c r="E66" s="6">
        <f>SUM(E64:E65)</f>
        <v>370</v>
      </c>
      <c r="G66" s="6">
        <f>SUM(G64:G65)</f>
        <v>370</v>
      </c>
      <c r="J66" s="6">
        <f>SUM(J64:J65)</f>
        <v>370</v>
      </c>
    </row>
    <row r="67" ht="15.75" customHeight="1">
      <c r="A67" s="6" t="s">
        <v>88</v>
      </c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ht="15.75" customHeight="1">
      <c r="A69" s="5">
        <v>45826.0</v>
      </c>
      <c r="B69" s="6" t="s">
        <v>930</v>
      </c>
      <c r="C69" s="6" t="s">
        <v>931</v>
      </c>
      <c r="D69" s="6" t="s">
        <v>152</v>
      </c>
      <c r="E69" s="6">
        <v>200.0</v>
      </c>
      <c r="F69" s="6">
        <v>200.0</v>
      </c>
      <c r="G69" s="22">
        <v>0.0</v>
      </c>
      <c r="H69" s="6">
        <v>0.0</v>
      </c>
      <c r="I69" s="6">
        <v>0.0</v>
      </c>
      <c r="J69" s="6">
        <v>200.0</v>
      </c>
      <c r="K69" s="6">
        <v>0.0</v>
      </c>
    </row>
    <row r="70" ht="15.75" customHeight="1">
      <c r="B70" s="6" t="s">
        <v>682</v>
      </c>
      <c r="C70" s="6" t="s">
        <v>932</v>
      </c>
      <c r="D70" s="6" t="s">
        <v>51</v>
      </c>
      <c r="E70" s="6">
        <v>320.0</v>
      </c>
      <c r="F70" s="6">
        <v>320.0</v>
      </c>
      <c r="G70" s="22">
        <v>0.0</v>
      </c>
      <c r="H70" s="6">
        <v>0.0</v>
      </c>
      <c r="I70" s="6">
        <v>0.0</v>
      </c>
      <c r="J70" s="6">
        <v>320.0</v>
      </c>
      <c r="K70" s="6">
        <v>0.0</v>
      </c>
    </row>
    <row r="71" ht="15.75" customHeight="1">
      <c r="B71" s="6" t="s">
        <v>371</v>
      </c>
      <c r="C71" s="6" t="s">
        <v>933</v>
      </c>
      <c r="D71" s="6" t="s">
        <v>934</v>
      </c>
      <c r="E71" s="6">
        <v>400.0</v>
      </c>
      <c r="F71" s="6">
        <v>0.0</v>
      </c>
      <c r="G71" s="22">
        <v>400.0</v>
      </c>
      <c r="H71" s="6">
        <v>0.0</v>
      </c>
      <c r="I71" s="6">
        <v>0.0</v>
      </c>
      <c r="J71" s="6">
        <v>400.0</v>
      </c>
      <c r="K71" s="6">
        <v>0.0</v>
      </c>
    </row>
    <row r="72" ht="15.75" customHeight="1">
      <c r="B72" s="6" t="s">
        <v>264</v>
      </c>
      <c r="C72" s="6" t="s">
        <v>935</v>
      </c>
      <c r="D72" s="6" t="s">
        <v>936</v>
      </c>
      <c r="E72" s="6">
        <v>325.0</v>
      </c>
      <c r="F72" s="6">
        <v>0.0</v>
      </c>
      <c r="G72" s="22">
        <v>325.0</v>
      </c>
      <c r="H72" s="6">
        <v>0.0</v>
      </c>
      <c r="I72" s="6">
        <v>0.0</v>
      </c>
      <c r="J72" s="6">
        <v>325.0</v>
      </c>
      <c r="K72" s="6">
        <v>5.0</v>
      </c>
    </row>
    <row r="73" ht="15.75" customHeight="1">
      <c r="B73" s="6" t="s">
        <v>515</v>
      </c>
      <c r="C73" s="6" t="s">
        <v>937</v>
      </c>
      <c r="D73" s="6" t="s">
        <v>825</v>
      </c>
      <c r="E73" s="6">
        <v>250.0</v>
      </c>
      <c r="F73" s="6">
        <v>250.0</v>
      </c>
      <c r="G73" s="22">
        <v>0.0</v>
      </c>
      <c r="H73" s="6">
        <v>0.0</v>
      </c>
      <c r="I73" s="6">
        <v>0.0</v>
      </c>
      <c r="J73" s="6">
        <v>250.0</v>
      </c>
      <c r="K73" s="6">
        <v>0.0</v>
      </c>
    </row>
    <row r="74" ht="15.75" customHeight="1">
      <c r="B74" s="6" t="s">
        <v>938</v>
      </c>
      <c r="C74" s="6" t="s">
        <v>939</v>
      </c>
      <c r="D74" s="6" t="s">
        <v>337</v>
      </c>
      <c r="E74" s="6">
        <v>250.0</v>
      </c>
      <c r="F74" s="6">
        <v>0.0</v>
      </c>
      <c r="G74" s="22">
        <v>250.0</v>
      </c>
      <c r="H74" s="6">
        <v>0.0</v>
      </c>
      <c r="I74" s="6">
        <v>0.0</v>
      </c>
      <c r="J74" s="6">
        <v>250.0</v>
      </c>
      <c r="K74" s="6">
        <v>0.0</v>
      </c>
    </row>
    <row r="75" ht="15.75" customHeight="1">
      <c r="B75" s="6" t="s">
        <v>940</v>
      </c>
      <c r="C75" s="6" t="s">
        <v>941</v>
      </c>
      <c r="D75" s="6" t="s">
        <v>152</v>
      </c>
      <c r="E75" s="6">
        <v>600.0</v>
      </c>
      <c r="F75" s="6">
        <v>0.0</v>
      </c>
      <c r="G75" s="22">
        <v>600.0</v>
      </c>
      <c r="H75" s="6">
        <v>0.0</v>
      </c>
      <c r="I75" s="6">
        <v>0.0</v>
      </c>
      <c r="J75" s="6">
        <v>600.0</v>
      </c>
      <c r="K75" s="6">
        <v>0.0</v>
      </c>
    </row>
    <row r="76" ht="15.75" customHeight="1">
      <c r="B76" s="6" t="s">
        <v>942</v>
      </c>
      <c r="C76" s="6" t="s">
        <v>943</v>
      </c>
      <c r="D76" s="6" t="s">
        <v>825</v>
      </c>
      <c r="E76" s="6">
        <v>250.0</v>
      </c>
      <c r="F76" s="6">
        <v>0.0</v>
      </c>
      <c r="G76" s="22">
        <v>250.0</v>
      </c>
      <c r="H76" s="6">
        <v>0.0</v>
      </c>
      <c r="I76" s="6">
        <v>0.0</v>
      </c>
      <c r="J76" s="6">
        <v>250.0</v>
      </c>
      <c r="K76" s="6">
        <v>0.0</v>
      </c>
    </row>
    <row r="77" ht="15.75" customHeight="1">
      <c r="B77" s="6" t="s">
        <v>944</v>
      </c>
      <c r="C77" s="6" t="s">
        <v>945</v>
      </c>
      <c r="D77" s="6" t="s">
        <v>51</v>
      </c>
      <c r="E77" s="6">
        <v>350.0</v>
      </c>
      <c r="F77" s="6">
        <v>0.0</v>
      </c>
      <c r="G77" s="22">
        <v>350.0</v>
      </c>
      <c r="H77" s="6">
        <v>0.0</v>
      </c>
      <c r="I77" s="6">
        <v>0.0</v>
      </c>
      <c r="J77" s="6">
        <v>350.0</v>
      </c>
      <c r="K77" s="6">
        <v>0.0</v>
      </c>
    </row>
    <row r="78" ht="15.75" customHeight="1">
      <c r="E78" s="6">
        <f t="shared" ref="E78:G78" si="7">SUM(E69:E77)</f>
        <v>2945</v>
      </c>
      <c r="F78" s="6">
        <f t="shared" si="7"/>
        <v>770</v>
      </c>
      <c r="G78" s="6">
        <f t="shared" si="7"/>
        <v>2175</v>
      </c>
    </row>
    <row r="79" ht="15.75" customHeight="1"/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ht="15.75" customHeight="1">
      <c r="A81" s="5">
        <v>45827.0</v>
      </c>
      <c r="B81" s="6" t="s">
        <v>524</v>
      </c>
      <c r="C81" s="6" t="s">
        <v>946</v>
      </c>
      <c r="D81" s="6" t="s">
        <v>947</v>
      </c>
      <c r="E81" s="6">
        <v>1300.0</v>
      </c>
      <c r="F81" s="6">
        <v>1300.0</v>
      </c>
      <c r="G81" s="22">
        <v>0.0</v>
      </c>
      <c r="H81" s="6">
        <v>0.0</v>
      </c>
      <c r="I81" s="6">
        <v>0.0</v>
      </c>
      <c r="J81" s="6">
        <v>1300.0</v>
      </c>
      <c r="K81" s="6">
        <v>0.0</v>
      </c>
    </row>
    <row r="82" ht="15.75" customHeight="1">
      <c r="B82" s="6" t="s">
        <v>781</v>
      </c>
      <c r="C82" s="6" t="s">
        <v>948</v>
      </c>
      <c r="D82" s="6" t="s">
        <v>934</v>
      </c>
      <c r="E82" s="6">
        <v>450.0</v>
      </c>
      <c r="F82" s="6">
        <v>0.0</v>
      </c>
      <c r="G82" s="22">
        <v>450.0</v>
      </c>
      <c r="H82" s="6">
        <v>0.0</v>
      </c>
      <c r="I82" s="6">
        <v>0.0</v>
      </c>
      <c r="J82" s="6">
        <v>450.0</v>
      </c>
      <c r="K82" s="6">
        <v>0.0</v>
      </c>
    </row>
    <row r="83" ht="15.75" customHeight="1">
      <c r="B83" s="6" t="s">
        <v>797</v>
      </c>
      <c r="C83" s="6" t="s">
        <v>949</v>
      </c>
      <c r="D83" s="6" t="s">
        <v>934</v>
      </c>
      <c r="E83" s="6">
        <v>450.0</v>
      </c>
      <c r="F83" s="6">
        <v>450.0</v>
      </c>
      <c r="G83" s="22">
        <v>0.0</v>
      </c>
      <c r="H83" s="6">
        <v>0.0</v>
      </c>
      <c r="I83" s="6">
        <v>0.0</v>
      </c>
      <c r="J83" s="6">
        <v>450.0</v>
      </c>
      <c r="K83" s="6">
        <v>0.0</v>
      </c>
    </row>
    <row r="84" ht="15.75" customHeight="1">
      <c r="B84" s="23" t="s">
        <v>700</v>
      </c>
      <c r="C84" s="6" t="s">
        <v>827</v>
      </c>
      <c r="D84" s="6" t="s">
        <v>51</v>
      </c>
      <c r="E84" s="6">
        <v>300.0</v>
      </c>
      <c r="F84" s="6">
        <v>250.0</v>
      </c>
      <c r="G84" s="22">
        <v>50.0</v>
      </c>
      <c r="H84" s="6">
        <v>0.0</v>
      </c>
      <c r="I84" s="6">
        <v>0.0</v>
      </c>
      <c r="J84" s="6">
        <v>300.0</v>
      </c>
      <c r="K84" s="6">
        <v>0.0</v>
      </c>
    </row>
    <row r="85" ht="15.75" customHeight="1">
      <c r="B85" s="6" t="s">
        <v>128</v>
      </c>
      <c r="C85" s="6" t="s">
        <v>950</v>
      </c>
      <c r="D85" s="6" t="s">
        <v>951</v>
      </c>
      <c r="E85" s="6">
        <v>450.0</v>
      </c>
      <c r="F85" s="6">
        <v>0.0</v>
      </c>
      <c r="G85" s="22">
        <v>450.0</v>
      </c>
      <c r="H85" s="6">
        <v>0.0</v>
      </c>
      <c r="I85" s="6">
        <v>0.0</v>
      </c>
      <c r="J85" s="6">
        <v>450.0</v>
      </c>
      <c r="K85" s="6">
        <v>0.0</v>
      </c>
    </row>
    <row r="86" ht="15.75" customHeight="1">
      <c r="E86" s="6">
        <f t="shared" ref="E86:F86" si="8">SUM(E81:E85)</f>
        <v>2950</v>
      </c>
      <c r="F86" s="6">
        <f t="shared" si="8"/>
        <v>2000</v>
      </c>
      <c r="G86" s="6">
        <v>950.0</v>
      </c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 t="s">
        <v>952</v>
      </c>
    </row>
    <row r="88" ht="15.75" customHeight="1">
      <c r="A88" s="5">
        <v>45797.0</v>
      </c>
      <c r="B88" s="6" t="s">
        <v>953</v>
      </c>
      <c r="C88" s="6" t="s">
        <v>954</v>
      </c>
      <c r="D88" s="6" t="s">
        <v>955</v>
      </c>
      <c r="E88" s="6">
        <v>1500.0</v>
      </c>
      <c r="F88" s="6">
        <v>0.0</v>
      </c>
      <c r="G88" s="6">
        <v>0.0</v>
      </c>
      <c r="H88" s="22">
        <v>1500.0</v>
      </c>
      <c r="I88" s="6">
        <v>0.0</v>
      </c>
      <c r="J88" s="6">
        <v>1500.0</v>
      </c>
      <c r="K88" s="6">
        <v>0.0</v>
      </c>
    </row>
    <row r="89" ht="15.75" customHeight="1"/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ht="15.75" customHeight="1">
      <c r="A91" s="5">
        <v>45831.0</v>
      </c>
      <c r="B91" s="6" t="s">
        <v>886</v>
      </c>
      <c r="C91" s="6" t="s">
        <v>956</v>
      </c>
      <c r="D91" s="6" t="s">
        <v>291</v>
      </c>
      <c r="E91" s="6">
        <v>120.0</v>
      </c>
      <c r="F91" s="6">
        <v>0.0</v>
      </c>
      <c r="G91" s="6">
        <v>120.0</v>
      </c>
      <c r="H91" s="6">
        <v>0.0</v>
      </c>
      <c r="I91" s="6">
        <v>0.0</v>
      </c>
      <c r="J91" s="6">
        <v>120.0</v>
      </c>
      <c r="K91" s="6">
        <v>0.0</v>
      </c>
    </row>
    <row r="92" ht="15.75" customHeight="1">
      <c r="B92" s="6" t="s">
        <v>957</v>
      </c>
      <c r="C92" s="6" t="s">
        <v>663</v>
      </c>
      <c r="D92" s="6" t="s">
        <v>51</v>
      </c>
      <c r="E92" s="6">
        <v>300.0</v>
      </c>
      <c r="F92" s="6">
        <v>300.0</v>
      </c>
      <c r="G92" s="6">
        <v>0.0</v>
      </c>
      <c r="H92" s="6">
        <v>0.0</v>
      </c>
      <c r="I92" s="6">
        <v>0.0</v>
      </c>
      <c r="J92" s="6">
        <v>300.0</v>
      </c>
      <c r="K92" s="6">
        <v>0.0</v>
      </c>
    </row>
    <row r="93" ht="15.75" customHeight="1">
      <c r="B93" s="6" t="s">
        <v>958</v>
      </c>
      <c r="C93" s="6" t="s">
        <v>959</v>
      </c>
      <c r="D93" s="6" t="s">
        <v>960</v>
      </c>
      <c r="E93" s="6">
        <v>130.0</v>
      </c>
      <c r="F93" s="6">
        <v>0.0</v>
      </c>
      <c r="G93" s="6">
        <v>130.0</v>
      </c>
      <c r="H93" s="6">
        <v>0.0</v>
      </c>
      <c r="I93" s="6">
        <v>0.0</v>
      </c>
      <c r="J93" s="6">
        <v>130.0</v>
      </c>
      <c r="K93" s="6">
        <v>0.0</v>
      </c>
    </row>
    <row r="94" ht="15.75" customHeight="1">
      <c r="E94" s="6">
        <f t="shared" ref="E94:K94" si="9">SUM(E91:E93)</f>
        <v>550</v>
      </c>
      <c r="F94" s="6">
        <f t="shared" si="9"/>
        <v>300</v>
      </c>
      <c r="G94" s="6">
        <f t="shared" si="9"/>
        <v>250</v>
      </c>
      <c r="H94" s="6">
        <f t="shared" si="9"/>
        <v>0</v>
      </c>
      <c r="I94" s="6">
        <f t="shared" si="9"/>
        <v>0</v>
      </c>
      <c r="J94" s="6">
        <f t="shared" si="9"/>
        <v>550</v>
      </c>
      <c r="K94" s="6">
        <f t="shared" si="9"/>
        <v>0</v>
      </c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ht="15.75" customHeight="1">
      <c r="A96" s="5">
        <v>45832.0</v>
      </c>
      <c r="B96" s="6" t="s">
        <v>961</v>
      </c>
      <c r="C96" s="6" t="s">
        <v>962</v>
      </c>
      <c r="D96" s="6" t="s">
        <v>51</v>
      </c>
      <c r="E96" s="6">
        <v>950.0</v>
      </c>
      <c r="F96" s="6">
        <v>950.0</v>
      </c>
      <c r="G96" s="6">
        <v>0.0</v>
      </c>
      <c r="H96" s="6">
        <v>0.0</v>
      </c>
      <c r="I96" s="6">
        <v>0.0</v>
      </c>
      <c r="J96" s="6">
        <v>950.0</v>
      </c>
      <c r="K96" s="6">
        <v>0.0</v>
      </c>
    </row>
    <row r="97" ht="15.75" customHeight="1">
      <c r="B97" s="6" t="s">
        <v>963</v>
      </c>
      <c r="C97" s="6" t="s">
        <v>964</v>
      </c>
      <c r="D97" s="6" t="s">
        <v>51</v>
      </c>
      <c r="E97" s="6">
        <v>300.0</v>
      </c>
      <c r="F97" s="6">
        <v>0.0</v>
      </c>
      <c r="G97" s="6">
        <v>300.0</v>
      </c>
      <c r="H97" s="6">
        <v>0.0</v>
      </c>
      <c r="I97" s="6">
        <v>0.0</v>
      </c>
      <c r="J97" s="6">
        <v>300.0</v>
      </c>
      <c r="K97" s="6">
        <v>0.0</v>
      </c>
    </row>
    <row r="98" ht="15.75" customHeight="1">
      <c r="B98" s="6" t="s">
        <v>225</v>
      </c>
      <c r="C98" s="6" t="s">
        <v>965</v>
      </c>
      <c r="D98" s="6" t="s">
        <v>152</v>
      </c>
      <c r="E98" s="6">
        <v>400.0</v>
      </c>
      <c r="F98" s="6">
        <v>300.0</v>
      </c>
      <c r="G98" s="6">
        <v>100.0</v>
      </c>
      <c r="H98" s="6">
        <v>0.0</v>
      </c>
      <c r="I98" s="6">
        <v>0.0</v>
      </c>
      <c r="J98" s="6">
        <v>400.0</v>
      </c>
      <c r="K98" s="6">
        <v>0.0</v>
      </c>
    </row>
    <row r="99" ht="15.75" customHeight="1">
      <c r="B99" s="6" t="s">
        <v>253</v>
      </c>
      <c r="C99" s="6" t="s">
        <v>966</v>
      </c>
      <c r="D99" s="6" t="s">
        <v>337</v>
      </c>
      <c r="E99" s="6">
        <v>350.0</v>
      </c>
      <c r="F99" s="6">
        <v>0.0</v>
      </c>
      <c r="G99" s="6">
        <v>350.0</v>
      </c>
      <c r="H99" s="6">
        <v>0.0</v>
      </c>
      <c r="I99" s="6">
        <v>0.0</v>
      </c>
      <c r="J99" s="6">
        <v>350.0</v>
      </c>
      <c r="K99" s="6">
        <v>0.0</v>
      </c>
    </row>
    <row r="100" ht="15.75" customHeight="1">
      <c r="B100" s="6" t="s">
        <v>823</v>
      </c>
      <c r="C100" s="6" t="s">
        <v>967</v>
      </c>
      <c r="D100" s="6" t="s">
        <v>337</v>
      </c>
      <c r="E100" s="6">
        <v>250.0</v>
      </c>
      <c r="F100" s="6">
        <v>0.0</v>
      </c>
      <c r="G100" s="6">
        <v>250.0</v>
      </c>
      <c r="H100" s="6">
        <v>0.0</v>
      </c>
      <c r="I100" s="6">
        <v>0.0</v>
      </c>
      <c r="J100" s="6">
        <v>250.0</v>
      </c>
      <c r="K100" s="6">
        <v>0.0</v>
      </c>
    </row>
    <row r="101" ht="15.75" customHeight="1">
      <c r="E101" s="6">
        <f t="shared" ref="E101:G101" si="10">SUM(E96:E100)</f>
        <v>2250</v>
      </c>
      <c r="F101" s="6">
        <f t="shared" si="10"/>
        <v>1250</v>
      </c>
      <c r="G101" s="6">
        <f t="shared" si="10"/>
        <v>1000</v>
      </c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 t="s">
        <v>968</v>
      </c>
    </row>
    <row r="103" ht="15.75" customHeight="1">
      <c r="A103" s="5">
        <v>45833.0</v>
      </c>
      <c r="B103" s="6" t="s">
        <v>969</v>
      </c>
      <c r="C103" s="6" t="s">
        <v>970</v>
      </c>
      <c r="D103" s="6" t="s">
        <v>971</v>
      </c>
      <c r="E103" s="6">
        <v>600.0</v>
      </c>
      <c r="F103" s="6">
        <v>0.0</v>
      </c>
      <c r="G103" s="6">
        <v>600.0</v>
      </c>
      <c r="H103" s="6">
        <v>0.0</v>
      </c>
      <c r="I103" s="6">
        <v>0.0</v>
      </c>
      <c r="J103" s="6">
        <v>600.0</v>
      </c>
      <c r="K103" s="6">
        <v>0.0</v>
      </c>
    </row>
    <row r="104" ht="15.75" customHeight="1">
      <c r="B104" s="6" t="s">
        <v>802</v>
      </c>
      <c r="C104" s="6" t="s">
        <v>970</v>
      </c>
      <c r="D104" s="6" t="s">
        <v>971</v>
      </c>
      <c r="E104" s="6">
        <v>600.0</v>
      </c>
      <c r="F104" s="6">
        <v>0.0</v>
      </c>
      <c r="G104" s="6">
        <v>600.0</v>
      </c>
      <c r="H104" s="6">
        <v>0.0</v>
      </c>
      <c r="I104" s="6">
        <v>0.0</v>
      </c>
      <c r="J104" s="6">
        <v>600.0</v>
      </c>
      <c r="K104" s="6">
        <v>0.0</v>
      </c>
    </row>
    <row r="105" ht="15.75" customHeight="1">
      <c r="B105" s="6" t="s">
        <v>800</v>
      </c>
      <c r="C105" s="6" t="s">
        <v>972</v>
      </c>
      <c r="D105" s="6" t="s">
        <v>971</v>
      </c>
      <c r="E105" s="6">
        <v>600.0</v>
      </c>
      <c r="F105" s="6">
        <v>0.0</v>
      </c>
      <c r="G105" s="6">
        <v>600.0</v>
      </c>
      <c r="H105" s="6">
        <v>0.0</v>
      </c>
      <c r="I105" s="6">
        <v>0.0</v>
      </c>
      <c r="J105" s="6">
        <v>600.0</v>
      </c>
      <c r="K105" s="6">
        <v>0.0</v>
      </c>
    </row>
    <row r="106" ht="15.75" customHeight="1">
      <c r="E106" s="6">
        <f>SUM(E103:E105)</f>
        <v>1800</v>
      </c>
      <c r="F106" s="6">
        <v>0.0</v>
      </c>
      <c r="G106" s="6">
        <f>SUM(G103:G105)</f>
        <v>1800</v>
      </c>
      <c r="H106" s="6">
        <v>0.0</v>
      </c>
      <c r="I106" s="6">
        <v>0.0</v>
      </c>
      <c r="J106" s="6">
        <f>SUM(J103:J105)</f>
        <v>1800</v>
      </c>
      <c r="K106" s="6">
        <v>0.0</v>
      </c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 t="s">
        <v>973</v>
      </c>
    </row>
    <row r="108" ht="15.75" customHeight="1">
      <c r="A108" s="5">
        <v>45834.0</v>
      </c>
      <c r="B108" s="6" t="s">
        <v>201</v>
      </c>
      <c r="C108" s="6" t="s">
        <v>974</v>
      </c>
      <c r="D108" s="6" t="s">
        <v>152</v>
      </c>
      <c r="E108" s="6">
        <v>200.0</v>
      </c>
      <c r="F108" s="6">
        <v>0.0</v>
      </c>
      <c r="G108" s="6">
        <v>200.0</v>
      </c>
      <c r="H108" s="6">
        <v>0.0</v>
      </c>
      <c r="I108" s="6">
        <v>0.0</v>
      </c>
      <c r="J108" s="6">
        <v>200.0</v>
      </c>
      <c r="K108" s="6">
        <v>0.0</v>
      </c>
    </row>
    <row r="109" ht="15.75" customHeight="1">
      <c r="B109" s="6" t="s">
        <v>821</v>
      </c>
      <c r="C109" s="6" t="s">
        <v>975</v>
      </c>
      <c r="D109" s="6" t="s">
        <v>291</v>
      </c>
      <c r="E109" s="6">
        <v>100.0</v>
      </c>
      <c r="F109" s="6">
        <v>100.0</v>
      </c>
      <c r="G109" s="6">
        <v>0.0</v>
      </c>
      <c r="H109" s="6">
        <v>0.0</v>
      </c>
      <c r="I109" s="6">
        <v>0.0</v>
      </c>
      <c r="J109" s="6">
        <v>100.0</v>
      </c>
      <c r="K109" s="6">
        <v>0.0</v>
      </c>
    </row>
    <row r="110" ht="15.75" customHeight="1">
      <c r="B110" s="6" t="s">
        <v>976</v>
      </c>
      <c r="C110" s="6" t="s">
        <v>977</v>
      </c>
      <c r="D110" s="6" t="s">
        <v>978</v>
      </c>
      <c r="E110" s="6">
        <v>950.0</v>
      </c>
      <c r="F110" s="6">
        <v>0.0</v>
      </c>
      <c r="G110" s="6">
        <v>950.0</v>
      </c>
      <c r="H110" s="6">
        <v>0.0</v>
      </c>
      <c r="I110" s="6">
        <v>0.0</v>
      </c>
      <c r="J110" s="6">
        <v>950.0</v>
      </c>
      <c r="K110" s="6">
        <v>0.0</v>
      </c>
    </row>
    <row r="111" ht="15.75" customHeight="1">
      <c r="B111" s="6" t="s">
        <v>979</v>
      </c>
      <c r="C111" s="6" t="s">
        <v>980</v>
      </c>
      <c r="D111" s="6" t="s">
        <v>152</v>
      </c>
      <c r="E111" s="6">
        <v>600.0</v>
      </c>
      <c r="F111" s="6">
        <v>0.0</v>
      </c>
      <c r="G111" s="6">
        <v>600.0</v>
      </c>
      <c r="H111" s="6">
        <v>0.0</v>
      </c>
      <c r="I111" s="6">
        <v>0.0</v>
      </c>
      <c r="J111" s="6">
        <v>600.0</v>
      </c>
      <c r="K111" s="6">
        <v>0.0</v>
      </c>
    </row>
    <row r="112" ht="15.75" customHeight="1">
      <c r="B112" s="6" t="s">
        <v>833</v>
      </c>
      <c r="C112" s="6" t="s">
        <v>981</v>
      </c>
      <c r="D112" s="6" t="s">
        <v>144</v>
      </c>
      <c r="E112" s="6">
        <v>60.0</v>
      </c>
      <c r="F112" s="6">
        <v>0.0</v>
      </c>
      <c r="G112" s="6">
        <v>60.0</v>
      </c>
      <c r="H112" s="6">
        <v>0.0</v>
      </c>
      <c r="I112" s="6">
        <v>0.0</v>
      </c>
      <c r="J112" s="6">
        <v>60.0</v>
      </c>
      <c r="K112" s="6">
        <v>0.0</v>
      </c>
    </row>
    <row r="113" ht="15.75" customHeight="1">
      <c r="B113" s="14" t="s">
        <v>317</v>
      </c>
      <c r="C113" s="6" t="s">
        <v>982</v>
      </c>
      <c r="D113" s="6" t="s">
        <v>291</v>
      </c>
      <c r="E113" s="6">
        <v>100.0</v>
      </c>
      <c r="F113" s="6">
        <v>0.0</v>
      </c>
      <c r="G113" s="6">
        <v>100.0</v>
      </c>
      <c r="H113" s="6">
        <v>0.0</v>
      </c>
      <c r="I113" s="6">
        <v>0.0</v>
      </c>
      <c r="J113" s="6">
        <v>100.0</v>
      </c>
      <c r="K113" s="6">
        <v>0.0</v>
      </c>
    </row>
    <row r="114" ht="15.75" customHeight="1">
      <c r="B114" s="6" t="s">
        <v>916</v>
      </c>
      <c r="C114" s="6" t="s">
        <v>983</v>
      </c>
      <c r="D114" s="6" t="s">
        <v>984</v>
      </c>
      <c r="E114" s="6">
        <v>120.0</v>
      </c>
      <c r="F114" s="6">
        <v>0.0</v>
      </c>
      <c r="G114" s="6">
        <v>120.0</v>
      </c>
      <c r="H114" s="6">
        <v>0.0</v>
      </c>
      <c r="I114" s="6">
        <v>0.0</v>
      </c>
      <c r="J114" s="6">
        <v>120.0</v>
      </c>
      <c r="K114" s="6">
        <v>0.0</v>
      </c>
    </row>
    <row r="115" ht="15.75" customHeight="1">
      <c r="E115" s="6">
        <f t="shared" ref="E115:G115" si="11">SUM(E108:E114)</f>
        <v>2130</v>
      </c>
      <c r="F115" s="6">
        <f t="shared" si="11"/>
        <v>100</v>
      </c>
      <c r="G115" s="6">
        <f t="shared" si="11"/>
        <v>2030</v>
      </c>
      <c r="H115" s="6">
        <v>0.0</v>
      </c>
      <c r="I115" s="6">
        <v>0.0</v>
      </c>
      <c r="J115" s="6">
        <f>SUM(J108:J114)</f>
        <v>2130</v>
      </c>
      <c r="K115" s="6">
        <v>0.0</v>
      </c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8"/>
      <c r="M116" s="24" t="s">
        <v>985</v>
      </c>
    </row>
    <row r="117" ht="15.75" customHeight="1">
      <c r="A117" s="5">
        <v>45839.0</v>
      </c>
      <c r="B117" s="6" t="s">
        <v>870</v>
      </c>
      <c r="C117" s="6" t="s">
        <v>986</v>
      </c>
      <c r="D117" s="6" t="s">
        <v>987</v>
      </c>
      <c r="E117" s="6">
        <v>900.0</v>
      </c>
      <c r="F117" s="6">
        <v>0.0</v>
      </c>
      <c r="G117" s="6">
        <v>900.0</v>
      </c>
      <c r="H117" s="6">
        <v>0.0</v>
      </c>
      <c r="I117" s="6">
        <v>0.0</v>
      </c>
      <c r="J117" s="6">
        <v>900.0</v>
      </c>
      <c r="L117" s="19"/>
      <c r="M117" s="19"/>
      <c r="N117" s="19"/>
      <c r="O117" s="19"/>
      <c r="P117" s="19"/>
      <c r="Q117" s="19"/>
    </row>
    <row r="118" ht="15.75" customHeight="1">
      <c r="A118" s="5"/>
      <c r="B118" s="6" t="s">
        <v>774</v>
      </c>
      <c r="C118" s="6" t="s">
        <v>988</v>
      </c>
      <c r="D118" s="6" t="s">
        <v>989</v>
      </c>
      <c r="E118" s="6">
        <v>250.0</v>
      </c>
      <c r="F118" s="6">
        <v>0.0</v>
      </c>
      <c r="G118" s="6">
        <v>250.0</v>
      </c>
      <c r="H118" s="6"/>
      <c r="I118" s="6"/>
      <c r="J118" s="6">
        <v>250.0</v>
      </c>
      <c r="L118" s="19"/>
      <c r="M118" s="19" t="s">
        <v>717</v>
      </c>
      <c r="N118" s="19" t="s">
        <v>718</v>
      </c>
      <c r="O118" s="19" t="s">
        <v>719</v>
      </c>
      <c r="P118" s="19" t="s">
        <v>720</v>
      </c>
      <c r="Q118" s="19"/>
    </row>
    <row r="119" ht="15.75" customHeight="1">
      <c r="B119" s="6" t="s">
        <v>990</v>
      </c>
      <c r="C119" s="6" t="s">
        <v>991</v>
      </c>
      <c r="D119" s="6" t="s">
        <v>992</v>
      </c>
      <c r="E119" s="6">
        <v>1250.0</v>
      </c>
      <c r="F119" s="6">
        <v>0.0</v>
      </c>
      <c r="G119" s="22">
        <v>1250.0</v>
      </c>
      <c r="H119" s="6">
        <v>0.0</v>
      </c>
      <c r="I119" s="6">
        <v>0.0</v>
      </c>
      <c r="J119" s="6">
        <v>1250.0</v>
      </c>
      <c r="M119" s="6">
        <v>2650.0</v>
      </c>
      <c r="N119" s="6">
        <v>0.0</v>
      </c>
      <c r="O119" s="6">
        <v>2650.0</v>
      </c>
      <c r="P119" s="6">
        <v>0.0</v>
      </c>
    </row>
    <row r="120" ht="15.75" customHeight="1">
      <c r="B120" s="6"/>
      <c r="C120" s="6" t="s">
        <v>993</v>
      </c>
      <c r="D120" s="6" t="s">
        <v>994</v>
      </c>
      <c r="E120" s="6">
        <v>250.0</v>
      </c>
      <c r="F120" s="6">
        <v>0.0</v>
      </c>
      <c r="G120" s="22">
        <v>250.0</v>
      </c>
      <c r="H120" s="6">
        <v>0.0</v>
      </c>
      <c r="I120" s="6">
        <v>0.0</v>
      </c>
      <c r="J120" s="6">
        <v>250.0</v>
      </c>
      <c r="M120" s="6">
        <v>550.0</v>
      </c>
      <c r="N120" s="6">
        <v>0.0</v>
      </c>
      <c r="O120" s="6">
        <v>50.0</v>
      </c>
      <c r="P120" s="6">
        <v>0.0</v>
      </c>
    </row>
    <row r="121" ht="15.75" customHeight="1">
      <c r="E121" s="6">
        <f>SUM(E117:E120)</f>
        <v>2650</v>
      </c>
      <c r="F121" s="6">
        <v>0.0</v>
      </c>
      <c r="G121" s="6">
        <f>SUM(G117:G120)</f>
        <v>2650</v>
      </c>
      <c r="H121" s="6">
        <v>0.0</v>
      </c>
      <c r="I121" s="6">
        <v>0.0</v>
      </c>
      <c r="J121" s="6">
        <f>SUM(J117:J120)</f>
        <v>2650</v>
      </c>
      <c r="M121" s="6">
        <v>2270.0</v>
      </c>
      <c r="N121" s="6">
        <v>1150.0</v>
      </c>
      <c r="O121" s="6">
        <v>1120.0</v>
      </c>
      <c r="P121" s="6">
        <v>0.0</v>
      </c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M122" s="6">
        <v>2550.0</v>
      </c>
      <c r="N122" s="6">
        <v>875.0</v>
      </c>
      <c r="O122" s="6">
        <v>530.0</v>
      </c>
      <c r="P122" s="6">
        <v>1100.0</v>
      </c>
    </row>
    <row r="123" ht="15.75" customHeight="1">
      <c r="A123" s="5">
        <v>45840.0</v>
      </c>
      <c r="B123" s="6" t="s">
        <v>995</v>
      </c>
      <c r="C123" s="6" t="s">
        <v>996</v>
      </c>
      <c r="D123" s="6" t="s">
        <v>997</v>
      </c>
      <c r="E123" s="6">
        <v>200.0</v>
      </c>
      <c r="F123" s="6">
        <v>0.0</v>
      </c>
      <c r="G123" s="22">
        <v>200.0</v>
      </c>
      <c r="H123" s="6">
        <v>0.0</v>
      </c>
      <c r="I123" s="6">
        <v>0.0</v>
      </c>
      <c r="J123" s="6">
        <v>200.0</v>
      </c>
      <c r="M123" s="6">
        <v>550.0</v>
      </c>
      <c r="N123" s="6">
        <v>100.0</v>
      </c>
      <c r="O123" s="6">
        <v>450.0</v>
      </c>
      <c r="P123" s="6">
        <v>0.0</v>
      </c>
    </row>
    <row r="124" ht="15.75" customHeight="1">
      <c r="B124" s="6" t="s">
        <v>998</v>
      </c>
      <c r="C124" s="6" t="s">
        <v>999</v>
      </c>
      <c r="D124" s="6" t="s">
        <v>548</v>
      </c>
      <c r="E124" s="6">
        <v>350.0</v>
      </c>
      <c r="F124" s="6">
        <v>0.0</v>
      </c>
      <c r="G124" s="22">
        <v>350.0</v>
      </c>
      <c r="H124" s="6">
        <v>0.0</v>
      </c>
      <c r="I124" s="6">
        <v>0.0</v>
      </c>
      <c r="J124" s="6">
        <v>350.0</v>
      </c>
      <c r="M124" s="25">
        <v>2545.0</v>
      </c>
      <c r="N124" s="25">
        <v>875.0</v>
      </c>
      <c r="O124" s="25">
        <v>1670.0</v>
      </c>
      <c r="P124" s="26">
        <v>0.0</v>
      </c>
    </row>
    <row r="125" ht="15.75" customHeight="1">
      <c r="B125" s="6" t="s">
        <v>1000</v>
      </c>
      <c r="C125" s="6" t="s">
        <v>398</v>
      </c>
      <c r="D125" s="6" t="s">
        <v>65</v>
      </c>
      <c r="E125" s="6">
        <v>50.0</v>
      </c>
      <c r="F125" s="6">
        <v>0.0</v>
      </c>
      <c r="G125" s="22">
        <v>0.0</v>
      </c>
      <c r="H125" s="27">
        <v>50.0</v>
      </c>
      <c r="I125" s="6">
        <v>0.0</v>
      </c>
      <c r="J125" s="6">
        <v>50.0</v>
      </c>
      <c r="M125" s="26">
        <v>850.0</v>
      </c>
      <c r="N125" s="26">
        <v>0.0</v>
      </c>
      <c r="O125" s="26">
        <v>850.0</v>
      </c>
      <c r="P125" s="26">
        <v>0.0</v>
      </c>
    </row>
    <row r="126" ht="15.75" customHeight="1">
      <c r="E126" s="6">
        <v>550.0</v>
      </c>
      <c r="F126" s="6">
        <v>0.0</v>
      </c>
      <c r="G126" s="6">
        <v>500.0</v>
      </c>
      <c r="H126" s="6">
        <v>50.0</v>
      </c>
      <c r="I126" s="6">
        <v>0.0</v>
      </c>
      <c r="J126" s="6">
        <v>50.0</v>
      </c>
      <c r="M126" s="26">
        <v>850.0</v>
      </c>
      <c r="N126" s="26">
        <v>750.0</v>
      </c>
      <c r="O126" s="26">
        <v>100.0</v>
      </c>
      <c r="P126" s="26">
        <v>0.0</v>
      </c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M127" s="26">
        <v>1400.0</v>
      </c>
      <c r="N127" s="26">
        <v>250.0</v>
      </c>
      <c r="O127" s="26">
        <v>1150.0</v>
      </c>
      <c r="P127" s="26">
        <v>0.0</v>
      </c>
    </row>
    <row r="128" ht="15.75" customHeight="1">
      <c r="A128" s="5">
        <v>45841.0</v>
      </c>
      <c r="B128" s="6" t="s">
        <v>1001</v>
      </c>
      <c r="C128" s="6" t="s">
        <v>1002</v>
      </c>
      <c r="D128" s="6" t="s">
        <v>141</v>
      </c>
      <c r="E128" s="6">
        <v>300.0</v>
      </c>
      <c r="F128" s="6">
        <v>300.0</v>
      </c>
      <c r="G128" s="22">
        <v>0.0</v>
      </c>
      <c r="H128" s="6">
        <v>0.0</v>
      </c>
      <c r="I128" s="6">
        <v>0.0</v>
      </c>
      <c r="J128" s="6">
        <v>300.0</v>
      </c>
      <c r="M128" s="26">
        <v>2350.0</v>
      </c>
      <c r="N128" s="26">
        <v>850.0</v>
      </c>
      <c r="O128" s="26">
        <v>0.0</v>
      </c>
      <c r="P128" s="26">
        <v>1500.0</v>
      </c>
    </row>
    <row r="129" ht="15.75" customHeight="1">
      <c r="B129" s="6" t="s">
        <v>160</v>
      </c>
      <c r="C129" s="6" t="s">
        <v>1003</v>
      </c>
      <c r="D129" s="6" t="s">
        <v>1004</v>
      </c>
      <c r="E129" s="6">
        <v>600.0</v>
      </c>
      <c r="F129" s="6">
        <v>250.0</v>
      </c>
      <c r="G129" s="22">
        <v>350.0</v>
      </c>
      <c r="H129" s="6">
        <v>0.0</v>
      </c>
      <c r="I129" s="6">
        <v>0.0</v>
      </c>
      <c r="J129" s="6">
        <v>600.0</v>
      </c>
      <c r="M129" s="26">
        <v>1500.0</v>
      </c>
      <c r="N129" s="26">
        <v>520.0</v>
      </c>
      <c r="O129" s="26">
        <v>980.0</v>
      </c>
      <c r="P129" s="26">
        <v>0.0</v>
      </c>
    </row>
    <row r="130" ht="15.75" customHeight="1">
      <c r="B130" s="6" t="s">
        <v>1005</v>
      </c>
      <c r="C130" s="6" t="s">
        <v>1006</v>
      </c>
      <c r="D130" s="6" t="s">
        <v>1007</v>
      </c>
      <c r="E130" s="6">
        <v>600.0</v>
      </c>
      <c r="F130" s="6">
        <v>600.0</v>
      </c>
      <c r="G130" s="22">
        <v>0.0</v>
      </c>
      <c r="H130" s="6">
        <v>0.0</v>
      </c>
      <c r="I130" s="6">
        <v>0.0</v>
      </c>
      <c r="J130" s="6">
        <v>600.0</v>
      </c>
      <c r="M130" s="26">
        <v>1650.0</v>
      </c>
      <c r="N130" s="26">
        <v>1000.0</v>
      </c>
      <c r="O130" s="26">
        <v>670.0</v>
      </c>
    </row>
    <row r="131" ht="15.75" customHeight="1">
      <c r="B131" s="6" t="s">
        <v>879</v>
      </c>
      <c r="C131" s="6" t="s">
        <v>1008</v>
      </c>
      <c r="D131" s="6" t="s">
        <v>1009</v>
      </c>
      <c r="E131" s="6">
        <v>770.0</v>
      </c>
      <c r="F131" s="6">
        <v>0.0</v>
      </c>
      <c r="G131" s="22">
        <v>770.0</v>
      </c>
      <c r="H131" s="6">
        <v>0.0</v>
      </c>
      <c r="I131" s="6">
        <v>0.0</v>
      </c>
      <c r="J131" s="6">
        <v>770.0</v>
      </c>
      <c r="M131" s="26">
        <v>3090.0</v>
      </c>
      <c r="N131" s="26">
        <v>1140.0</v>
      </c>
      <c r="O131" s="26">
        <v>1950.0</v>
      </c>
      <c r="P131" s="26">
        <v>0.0</v>
      </c>
    </row>
    <row r="132" ht="15.75" customHeight="1">
      <c r="E132" s="6">
        <f t="shared" ref="E132:G132" si="12">SUM(E128:E131)</f>
        <v>2270</v>
      </c>
      <c r="F132" s="6">
        <f t="shared" si="12"/>
        <v>1150</v>
      </c>
      <c r="G132" s="6">
        <f t="shared" si="12"/>
        <v>1120</v>
      </c>
      <c r="H132" s="6">
        <v>0.0</v>
      </c>
      <c r="I132" s="6">
        <v>0.0</v>
      </c>
      <c r="M132" s="28">
        <f t="shared" ref="M132:P132" si="13">SUM(M119:M131)</f>
        <v>22805</v>
      </c>
      <c r="N132" s="28">
        <f t="shared" si="13"/>
        <v>7510</v>
      </c>
      <c r="O132" s="28">
        <f t="shared" si="13"/>
        <v>12170</v>
      </c>
      <c r="P132" s="28">
        <f t="shared" si="13"/>
        <v>2600</v>
      </c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ht="15.75" customHeight="1">
      <c r="A136" s="5">
        <v>45845.0</v>
      </c>
    </row>
    <row r="137" ht="15.75" customHeight="1">
      <c r="A137" s="6" t="s">
        <v>88</v>
      </c>
      <c r="B137" s="6" t="s">
        <v>1010</v>
      </c>
      <c r="C137" s="6" t="s">
        <v>1011</v>
      </c>
      <c r="D137" s="6" t="s">
        <v>1012</v>
      </c>
      <c r="E137" s="6">
        <v>530.0</v>
      </c>
      <c r="F137" s="6">
        <v>0.0</v>
      </c>
      <c r="G137" s="6">
        <v>530.0</v>
      </c>
      <c r="H137" s="6">
        <v>0.0</v>
      </c>
      <c r="I137" s="6">
        <v>0.0</v>
      </c>
      <c r="J137" s="6">
        <v>530.0</v>
      </c>
      <c r="K137" s="6">
        <v>0.0</v>
      </c>
    </row>
    <row r="138" ht="15.75" customHeight="1">
      <c r="B138" s="6" t="s">
        <v>1013</v>
      </c>
      <c r="C138" s="6" t="s">
        <v>1014</v>
      </c>
      <c r="D138" s="6" t="s">
        <v>1015</v>
      </c>
      <c r="E138" s="6">
        <v>350.0</v>
      </c>
      <c r="F138" s="6">
        <v>0.0</v>
      </c>
      <c r="G138" s="6">
        <v>0.0</v>
      </c>
      <c r="H138" s="6">
        <v>350.0</v>
      </c>
      <c r="I138" s="6">
        <v>0.0</v>
      </c>
      <c r="J138" s="6">
        <v>350.0</v>
      </c>
      <c r="K138" s="6">
        <v>0.0</v>
      </c>
    </row>
    <row r="139" ht="15.75" customHeight="1">
      <c r="B139" s="6" t="s">
        <v>1016</v>
      </c>
      <c r="C139" s="6" t="s">
        <v>1017</v>
      </c>
      <c r="D139" s="6" t="s">
        <v>1018</v>
      </c>
      <c r="E139" s="6">
        <v>750.0</v>
      </c>
      <c r="F139" s="6">
        <v>0.0</v>
      </c>
      <c r="G139" s="6">
        <v>0.0</v>
      </c>
      <c r="H139" s="6">
        <v>750.0</v>
      </c>
      <c r="I139" s="6">
        <v>0.0</v>
      </c>
      <c r="J139" s="6">
        <v>750.0</v>
      </c>
      <c r="K139" s="6">
        <v>0.0</v>
      </c>
    </row>
    <row r="140" ht="15.75" customHeight="1">
      <c r="E140" s="6">
        <f t="shared" ref="E140:H140" si="14">SUM(E137:E139)</f>
        <v>1630</v>
      </c>
      <c r="F140" s="6">
        <f t="shared" si="14"/>
        <v>0</v>
      </c>
      <c r="G140" s="6">
        <f t="shared" si="14"/>
        <v>530</v>
      </c>
      <c r="H140" s="6">
        <f t="shared" si="14"/>
        <v>1100</v>
      </c>
      <c r="J140" s="6">
        <f>SUM(J137:J139)</f>
        <v>1630</v>
      </c>
      <c r="K140" s="6">
        <v>0.0</v>
      </c>
    </row>
    <row r="141" ht="15.75" customHeight="1"/>
    <row r="142" ht="15.75" customHeight="1">
      <c r="B142" s="6" t="s">
        <v>1019</v>
      </c>
      <c r="C142" s="6" t="s">
        <v>414</v>
      </c>
      <c r="D142" s="6" t="s">
        <v>65</v>
      </c>
      <c r="E142" s="6">
        <v>50.0</v>
      </c>
      <c r="F142" s="22">
        <v>0.0</v>
      </c>
      <c r="G142" s="6">
        <v>0.0</v>
      </c>
      <c r="H142" s="6">
        <v>50.0</v>
      </c>
      <c r="I142" s="6">
        <v>0.0</v>
      </c>
      <c r="J142" s="6">
        <v>50.0</v>
      </c>
      <c r="K142" s="6">
        <v>0.0</v>
      </c>
    </row>
    <row r="143" ht="15.75" customHeight="1">
      <c r="B143" s="6" t="s">
        <v>567</v>
      </c>
      <c r="C143" s="6" t="s">
        <v>1020</v>
      </c>
      <c r="D143" s="6" t="s">
        <v>1021</v>
      </c>
      <c r="E143" s="6">
        <v>250.0</v>
      </c>
      <c r="F143" s="22">
        <v>250.0</v>
      </c>
      <c r="G143" s="6">
        <v>0.0</v>
      </c>
      <c r="H143" s="6">
        <v>0.0</v>
      </c>
      <c r="I143" s="6">
        <v>0.0</v>
      </c>
      <c r="J143" s="6">
        <v>250.0</v>
      </c>
      <c r="K143" s="6">
        <v>0.0</v>
      </c>
    </row>
    <row r="144" ht="15.75" customHeight="1">
      <c r="B144" s="6" t="s">
        <v>1022</v>
      </c>
      <c r="C144" s="6" t="s">
        <v>1023</v>
      </c>
      <c r="D144" s="6" t="s">
        <v>1024</v>
      </c>
      <c r="E144" s="6">
        <v>600.0</v>
      </c>
      <c r="F144" s="22">
        <v>600.0</v>
      </c>
      <c r="G144" s="6">
        <v>0.0</v>
      </c>
      <c r="H144" s="6">
        <v>0.0</v>
      </c>
      <c r="I144" s="6">
        <v>0.0</v>
      </c>
      <c r="J144" s="6">
        <v>600.0</v>
      </c>
      <c r="K144" s="6">
        <v>0.0</v>
      </c>
    </row>
    <row r="145" ht="15.75" customHeight="1">
      <c r="B145" s="6" t="s">
        <v>704</v>
      </c>
      <c r="C145" s="6" t="s">
        <v>1025</v>
      </c>
      <c r="D145" s="6" t="s">
        <v>144</v>
      </c>
      <c r="E145" s="6">
        <v>25.0</v>
      </c>
      <c r="F145" s="22">
        <v>25.0</v>
      </c>
      <c r="G145" s="6">
        <v>0.0</v>
      </c>
      <c r="H145" s="6">
        <v>0.0</v>
      </c>
      <c r="I145" s="6">
        <v>0.0</v>
      </c>
      <c r="J145" s="6">
        <v>25.0</v>
      </c>
      <c r="K145" s="6">
        <v>0.0</v>
      </c>
    </row>
    <row r="146" ht="15.75" customHeight="1">
      <c r="E146" s="6">
        <f t="shared" ref="E146:F146" si="15">SUM(E142:E145)</f>
        <v>925</v>
      </c>
      <c r="F146" s="22">
        <f t="shared" si="15"/>
        <v>875</v>
      </c>
      <c r="G146" s="6">
        <v>0.0</v>
      </c>
      <c r="H146" s="6">
        <v>50.0</v>
      </c>
    </row>
    <row r="147" ht="15.75" customHeight="1">
      <c r="E147" s="6">
        <v>2550.0</v>
      </c>
      <c r="F147" s="6">
        <v>875.0</v>
      </c>
      <c r="G147" s="6">
        <v>530.0</v>
      </c>
      <c r="H147" s="6">
        <v>1560.0</v>
      </c>
      <c r="I147" s="6">
        <v>0.0</v>
      </c>
      <c r="J147" s="6">
        <v>0.0</v>
      </c>
      <c r="K147" s="6">
        <v>0.0</v>
      </c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29"/>
    </row>
    <row r="149" ht="15.75" customHeight="1">
      <c r="A149" s="5">
        <v>45846.0</v>
      </c>
      <c r="B149" s="6" t="s">
        <v>1026</v>
      </c>
      <c r="C149" s="6" t="s">
        <v>1027</v>
      </c>
      <c r="D149" s="6" t="s">
        <v>475</v>
      </c>
      <c r="E149" s="6">
        <v>450.0</v>
      </c>
      <c r="F149" s="6">
        <v>0.0</v>
      </c>
      <c r="G149" s="6">
        <v>450.0</v>
      </c>
      <c r="H149" s="6">
        <v>0.0</v>
      </c>
      <c r="I149" s="6">
        <v>0.0</v>
      </c>
      <c r="J149" s="6">
        <v>450.0</v>
      </c>
      <c r="K149" s="6">
        <v>0.0</v>
      </c>
    </row>
    <row r="150" ht="15.75" customHeight="1">
      <c r="B150" s="6" t="s">
        <v>1028</v>
      </c>
      <c r="C150" s="6" t="s">
        <v>1029</v>
      </c>
      <c r="D150" s="6" t="s">
        <v>291</v>
      </c>
      <c r="E150" s="6">
        <v>100.0</v>
      </c>
      <c r="F150" s="6">
        <v>100.0</v>
      </c>
      <c r="G150" s="6">
        <v>0.0</v>
      </c>
      <c r="H150" s="6">
        <v>0.0</v>
      </c>
      <c r="I150" s="6">
        <v>0.0</v>
      </c>
      <c r="J150" s="6">
        <v>100.0</v>
      </c>
      <c r="K150" s="6">
        <v>0.0</v>
      </c>
    </row>
    <row r="151" ht="15.75" customHeight="1">
      <c r="E151" s="6">
        <f>SUM(E149:E150)</f>
        <v>550</v>
      </c>
      <c r="F151" s="6">
        <v>100.0</v>
      </c>
      <c r="G151" s="6">
        <v>450.0</v>
      </c>
      <c r="H151" s="6">
        <v>0.0</v>
      </c>
      <c r="I151" s="6">
        <v>0.0</v>
      </c>
      <c r="J151" s="6">
        <v>450.0</v>
      </c>
      <c r="K151" s="6">
        <v>0.0</v>
      </c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29" t="s">
        <v>1030</v>
      </c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ht="15.75" customHeight="1">
      <c r="A155" s="32">
        <v>45859.0</v>
      </c>
      <c r="B155" s="26" t="s">
        <v>1031</v>
      </c>
      <c r="C155" s="26" t="s">
        <v>1032</v>
      </c>
      <c r="D155" s="26" t="s">
        <v>1033</v>
      </c>
      <c r="E155" s="26">
        <v>50.0</v>
      </c>
      <c r="F155" s="26">
        <v>0.0</v>
      </c>
      <c r="G155" s="26">
        <v>50.0</v>
      </c>
      <c r="H155" s="26">
        <v>0.0</v>
      </c>
      <c r="I155" s="26">
        <v>0.0</v>
      </c>
      <c r="J155" s="26">
        <v>50.0</v>
      </c>
      <c r="K155" s="26">
        <v>0.0</v>
      </c>
    </row>
    <row r="156" ht="15.75" customHeight="1">
      <c r="B156" s="26" t="s">
        <v>1034</v>
      </c>
      <c r="C156" s="26" t="s">
        <v>1035</v>
      </c>
      <c r="D156" s="26" t="s">
        <v>152</v>
      </c>
      <c r="E156" s="26">
        <v>600.0</v>
      </c>
      <c r="F156" s="26">
        <v>0.0</v>
      </c>
      <c r="G156" s="26">
        <v>600.0</v>
      </c>
      <c r="H156" s="26">
        <v>0.0</v>
      </c>
      <c r="I156" s="26">
        <v>0.0</v>
      </c>
      <c r="J156" s="26">
        <v>600.0</v>
      </c>
      <c r="K156" s="26">
        <v>0.0</v>
      </c>
    </row>
    <row r="157" ht="15.75" customHeight="1">
      <c r="B157" s="26" t="s">
        <v>594</v>
      </c>
      <c r="C157" s="26" t="s">
        <v>1036</v>
      </c>
      <c r="D157" s="26" t="s">
        <v>152</v>
      </c>
      <c r="E157" s="26">
        <v>225.0</v>
      </c>
      <c r="F157" s="26">
        <v>225.0</v>
      </c>
      <c r="G157" s="26">
        <v>0.0</v>
      </c>
      <c r="H157" s="26">
        <v>0.0</v>
      </c>
      <c r="I157" s="26">
        <v>0.0</v>
      </c>
      <c r="J157" s="26">
        <v>225.0</v>
      </c>
      <c r="K157" s="26">
        <v>0.0</v>
      </c>
    </row>
    <row r="158" ht="15.75" customHeight="1">
      <c r="B158" s="26" t="s">
        <v>1037</v>
      </c>
      <c r="C158" s="26" t="s">
        <v>1038</v>
      </c>
      <c r="D158" s="26" t="s">
        <v>51</v>
      </c>
      <c r="E158" s="26">
        <v>320.0</v>
      </c>
      <c r="F158" s="26">
        <v>0.0</v>
      </c>
      <c r="G158" s="26">
        <v>320.0</v>
      </c>
      <c r="H158" s="26">
        <v>0.0</v>
      </c>
      <c r="I158" s="26">
        <v>0.0</v>
      </c>
      <c r="J158" s="26">
        <v>320.0</v>
      </c>
      <c r="K158" s="26">
        <v>0.0</v>
      </c>
    </row>
    <row r="159" ht="15.75" customHeight="1">
      <c r="B159" s="26" t="s">
        <v>1039</v>
      </c>
      <c r="C159" s="26" t="s">
        <v>1040</v>
      </c>
      <c r="D159" s="26" t="s">
        <v>934</v>
      </c>
      <c r="E159" s="26">
        <v>450.0</v>
      </c>
      <c r="F159" s="26">
        <v>0.0</v>
      </c>
      <c r="G159" s="26">
        <v>450.0</v>
      </c>
      <c r="H159" s="26">
        <v>0.0</v>
      </c>
      <c r="I159" s="26">
        <v>0.0</v>
      </c>
      <c r="J159" s="26">
        <v>450.0</v>
      </c>
      <c r="K159" s="26">
        <v>0.0</v>
      </c>
    </row>
    <row r="160" ht="15.75" customHeight="1">
      <c r="B160" s="26" t="s">
        <v>1041</v>
      </c>
      <c r="C160" s="26" t="s">
        <v>1042</v>
      </c>
      <c r="D160" s="26" t="s">
        <v>270</v>
      </c>
      <c r="E160" s="26">
        <v>250.0</v>
      </c>
      <c r="F160" s="26">
        <v>0.0</v>
      </c>
      <c r="G160" s="26">
        <v>250.0</v>
      </c>
      <c r="H160" s="26">
        <v>0.0</v>
      </c>
      <c r="I160" s="26">
        <v>0.0</v>
      </c>
      <c r="J160" s="26">
        <v>250.0</v>
      </c>
      <c r="K160" s="26">
        <v>0.0</v>
      </c>
    </row>
    <row r="161" ht="15.75" customHeight="1">
      <c r="B161" s="26" t="s">
        <v>1043</v>
      </c>
      <c r="C161" s="26" t="s">
        <v>1044</v>
      </c>
      <c r="D161" s="26" t="s">
        <v>1045</v>
      </c>
      <c r="E161" s="26">
        <v>650.0</v>
      </c>
      <c r="F161" s="26">
        <v>650.0</v>
      </c>
      <c r="G161" s="26">
        <v>0.0</v>
      </c>
      <c r="H161" s="26">
        <v>0.0</v>
      </c>
      <c r="I161" s="26">
        <v>0.0</v>
      </c>
      <c r="J161" s="26">
        <v>650.0</v>
      </c>
      <c r="K161" s="26">
        <v>0.0</v>
      </c>
    </row>
    <row r="162" ht="15.75" customHeight="1">
      <c r="E162" s="28">
        <f t="shared" ref="E162:G162" si="16">SUM(E155:E161)</f>
        <v>2545</v>
      </c>
      <c r="F162" s="28">
        <f t="shared" si="16"/>
        <v>875</v>
      </c>
      <c r="G162" s="28">
        <f t="shared" si="16"/>
        <v>1670</v>
      </c>
      <c r="H162" s="26">
        <v>0.0</v>
      </c>
      <c r="I162" s="26">
        <v>0.0</v>
      </c>
      <c r="J162" s="26">
        <v>2545.0</v>
      </c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 t="s">
        <v>1046</v>
      </c>
    </row>
    <row r="164" ht="15.75" customHeight="1">
      <c r="A164" s="32">
        <v>45860.0</v>
      </c>
      <c r="B164" s="26" t="s">
        <v>652</v>
      </c>
      <c r="C164" s="26" t="s">
        <v>1047</v>
      </c>
      <c r="D164" s="26" t="s">
        <v>1048</v>
      </c>
      <c r="E164" s="26">
        <v>850.0</v>
      </c>
      <c r="F164" s="26">
        <v>0.0</v>
      </c>
      <c r="G164" s="26">
        <v>850.0</v>
      </c>
      <c r="H164" s="26">
        <v>0.0</v>
      </c>
      <c r="I164" s="26">
        <v>0.0</v>
      </c>
      <c r="J164" s="26">
        <v>850.0</v>
      </c>
      <c r="K164" s="26">
        <v>0.0</v>
      </c>
    </row>
    <row r="165" ht="15.75" customHeight="1">
      <c r="E165" s="26">
        <v>850.0</v>
      </c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 ht="15.75" customHeight="1">
      <c r="A167" s="32">
        <v>45861.0</v>
      </c>
      <c r="B167" s="26" t="s">
        <v>1028</v>
      </c>
      <c r="C167" s="26" t="s">
        <v>1049</v>
      </c>
      <c r="D167" s="26" t="s">
        <v>291</v>
      </c>
      <c r="E167" s="26">
        <v>100.0</v>
      </c>
      <c r="F167" s="26">
        <v>100.0</v>
      </c>
      <c r="G167" s="26">
        <v>0.0</v>
      </c>
      <c r="H167" s="26">
        <v>0.0</v>
      </c>
      <c r="I167" s="26">
        <v>0.0</v>
      </c>
      <c r="J167" s="26">
        <v>100.0</v>
      </c>
    </row>
    <row r="168" ht="15.75" customHeight="1">
      <c r="B168" s="26" t="s">
        <v>1022</v>
      </c>
      <c r="C168" s="26" t="s">
        <v>1050</v>
      </c>
      <c r="D168" s="26" t="s">
        <v>1051</v>
      </c>
      <c r="E168" s="26">
        <v>300.0</v>
      </c>
      <c r="F168" s="26">
        <v>200.0</v>
      </c>
      <c r="G168" s="26">
        <v>100.0</v>
      </c>
      <c r="H168" s="26">
        <v>0.0</v>
      </c>
      <c r="I168" s="26">
        <v>0.0</v>
      </c>
      <c r="J168" s="26">
        <v>300.0</v>
      </c>
    </row>
    <row r="169" ht="15.75" customHeight="1">
      <c r="B169" s="26" t="s">
        <v>1052</v>
      </c>
      <c r="C169" s="26" t="s">
        <v>1053</v>
      </c>
      <c r="D169" s="26" t="s">
        <v>1054</v>
      </c>
      <c r="E169" s="26">
        <v>450.0</v>
      </c>
      <c r="F169" s="26">
        <v>450.0</v>
      </c>
      <c r="G169" s="26">
        <v>0.0</v>
      </c>
      <c r="H169" s="26">
        <v>0.0</v>
      </c>
      <c r="I169" s="26">
        <v>0.0</v>
      </c>
      <c r="J169" s="26">
        <v>450.0</v>
      </c>
    </row>
    <row r="170" ht="15.75" customHeight="1">
      <c r="E170" s="28">
        <f t="shared" ref="E170:G170" si="17">SUM(E167:E169)</f>
        <v>850</v>
      </c>
      <c r="F170" s="28">
        <f t="shared" si="17"/>
        <v>750</v>
      </c>
      <c r="G170" s="28">
        <f t="shared" si="17"/>
        <v>100</v>
      </c>
      <c r="H170" s="26">
        <v>0.0</v>
      </c>
      <c r="I170" s="26">
        <v>0.0</v>
      </c>
      <c r="J170" s="26">
        <v>850.0</v>
      </c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 ht="15.75" customHeight="1">
      <c r="A172" s="32">
        <v>45862.0</v>
      </c>
      <c r="B172" s="26" t="s">
        <v>833</v>
      </c>
      <c r="C172" s="26" t="s">
        <v>1055</v>
      </c>
      <c r="D172" s="26" t="s">
        <v>1056</v>
      </c>
      <c r="E172" s="26">
        <v>450.0</v>
      </c>
      <c r="F172" s="26">
        <v>250.0</v>
      </c>
      <c r="G172" s="26">
        <v>200.0</v>
      </c>
      <c r="H172" s="26">
        <v>0.0</v>
      </c>
      <c r="I172" s="26">
        <v>0.0</v>
      </c>
      <c r="J172" s="26">
        <v>450.0</v>
      </c>
    </row>
    <row r="173" ht="15.75" customHeight="1">
      <c r="B173" s="26" t="s">
        <v>253</v>
      </c>
      <c r="C173" s="26" t="s">
        <v>1057</v>
      </c>
      <c r="D173" s="26" t="s">
        <v>1058</v>
      </c>
      <c r="E173" s="26">
        <v>350.0</v>
      </c>
      <c r="F173" s="26">
        <v>0.0</v>
      </c>
      <c r="G173" s="26">
        <v>350.0</v>
      </c>
      <c r="H173" s="26">
        <v>0.0</v>
      </c>
      <c r="I173" s="26">
        <v>0.0</v>
      </c>
      <c r="J173" s="26">
        <v>350.0</v>
      </c>
    </row>
    <row r="174" ht="15.75" customHeight="1">
      <c r="B174" s="26" t="s">
        <v>118</v>
      </c>
      <c r="C174" s="26" t="s">
        <v>1059</v>
      </c>
      <c r="D174" s="26" t="s">
        <v>291</v>
      </c>
      <c r="E174" s="26">
        <v>100.0</v>
      </c>
      <c r="F174" s="26">
        <v>0.0</v>
      </c>
      <c r="G174" s="26">
        <v>100.0</v>
      </c>
      <c r="H174" s="26">
        <v>0.0</v>
      </c>
      <c r="I174" s="26">
        <v>0.0</v>
      </c>
      <c r="J174" s="26">
        <v>100.0</v>
      </c>
    </row>
    <row r="175" ht="15.75" customHeight="1">
      <c r="B175" s="26" t="s">
        <v>995</v>
      </c>
      <c r="C175" s="26" t="s">
        <v>1060</v>
      </c>
      <c r="D175" s="26" t="s">
        <v>1061</v>
      </c>
      <c r="E175" s="26">
        <v>500.0</v>
      </c>
      <c r="F175" s="26">
        <v>0.0</v>
      </c>
      <c r="G175" s="26">
        <v>500.0</v>
      </c>
      <c r="H175" s="26">
        <v>0.0</v>
      </c>
      <c r="I175" s="26">
        <v>0.0</v>
      </c>
      <c r="J175" s="26">
        <v>500.0</v>
      </c>
    </row>
    <row r="176" ht="15.75" customHeight="1">
      <c r="E176" s="28">
        <f t="shared" ref="E176:G176" si="18">SUM(E172:E175)</f>
        <v>1400</v>
      </c>
      <c r="F176" s="28">
        <f t="shared" si="18"/>
        <v>250</v>
      </c>
      <c r="G176" s="28">
        <f t="shared" si="18"/>
        <v>1150</v>
      </c>
      <c r="I176" s="26">
        <v>0.0</v>
      </c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</row>
    <row r="180" ht="15.75" customHeight="1">
      <c r="A180" s="32">
        <v>45866.0</v>
      </c>
      <c r="B180" s="26" t="s">
        <v>826</v>
      </c>
    </row>
    <row r="181" ht="15.75" customHeight="1">
      <c r="B181" s="26" t="s">
        <v>74</v>
      </c>
      <c r="C181" s="26" t="s">
        <v>1062</v>
      </c>
      <c r="D181" s="26" t="s">
        <v>1063</v>
      </c>
      <c r="E181" s="26">
        <v>400.0</v>
      </c>
      <c r="F181" s="26">
        <v>400.0</v>
      </c>
      <c r="G181" s="26">
        <v>0.0</v>
      </c>
      <c r="H181" s="26">
        <v>0.0</v>
      </c>
      <c r="I181" s="26">
        <v>0.0</v>
      </c>
      <c r="J181" s="26">
        <v>400.0</v>
      </c>
      <c r="K181" s="26">
        <v>0.0</v>
      </c>
    </row>
    <row r="182" ht="15.75" customHeight="1">
      <c r="B182" s="26" t="s">
        <v>1064</v>
      </c>
      <c r="C182" s="26" t="s">
        <v>1065</v>
      </c>
      <c r="D182" s="26" t="s">
        <v>1066</v>
      </c>
      <c r="E182" s="26">
        <v>700.0</v>
      </c>
      <c r="F182" s="26">
        <v>0.0</v>
      </c>
      <c r="G182" s="26">
        <v>0.0</v>
      </c>
      <c r="H182" s="26">
        <v>700.0</v>
      </c>
      <c r="I182" s="26">
        <v>0.0</v>
      </c>
      <c r="J182" s="26">
        <v>700.0</v>
      </c>
      <c r="K182" s="26">
        <v>0.0</v>
      </c>
    </row>
    <row r="183" ht="15.75" customHeight="1">
      <c r="B183" s="26" t="s">
        <v>1067</v>
      </c>
      <c r="C183" s="26" t="s">
        <v>1068</v>
      </c>
      <c r="D183" s="26" t="s">
        <v>934</v>
      </c>
      <c r="E183" s="26">
        <v>450.0</v>
      </c>
      <c r="F183" s="26">
        <v>450.0</v>
      </c>
      <c r="G183" s="26">
        <v>0.0</v>
      </c>
      <c r="H183" s="26">
        <v>0.0</v>
      </c>
      <c r="I183" s="26">
        <v>0.0</v>
      </c>
      <c r="J183" s="26">
        <v>450.0</v>
      </c>
      <c r="K183" s="26">
        <v>0.0</v>
      </c>
    </row>
    <row r="184" ht="15.75" customHeight="1">
      <c r="B184" s="26" t="s">
        <v>1069</v>
      </c>
      <c r="C184" s="26" t="s">
        <v>1070</v>
      </c>
      <c r="D184" s="26" t="s">
        <v>65</v>
      </c>
      <c r="E184" s="26">
        <v>800.0</v>
      </c>
      <c r="F184" s="26">
        <v>0.0</v>
      </c>
      <c r="G184" s="26">
        <v>0.0</v>
      </c>
      <c r="H184" s="26">
        <v>800.0</v>
      </c>
      <c r="I184" s="26">
        <v>0.0</v>
      </c>
      <c r="J184" s="26">
        <v>800.0</v>
      </c>
      <c r="K184" s="26">
        <v>0.0</v>
      </c>
    </row>
    <row r="185" ht="15.75" customHeight="1">
      <c r="E185" s="28">
        <f>SUM(E181:E184)</f>
        <v>2350</v>
      </c>
      <c r="F185" s="26">
        <v>850.0</v>
      </c>
      <c r="G185" s="26">
        <v>0.0</v>
      </c>
      <c r="H185" s="26">
        <v>1500.0</v>
      </c>
      <c r="I185" s="26">
        <v>0.0</v>
      </c>
      <c r="J185" s="28">
        <f>SUM(J181:J184)</f>
        <v>2350</v>
      </c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 ht="15.75" customHeight="1">
      <c r="A187" s="32">
        <v>45867.0</v>
      </c>
      <c r="B187" s="26" t="s">
        <v>1071</v>
      </c>
      <c r="C187" s="26" t="s">
        <v>1072</v>
      </c>
      <c r="D187" s="26" t="s">
        <v>1073</v>
      </c>
      <c r="E187" s="26">
        <v>835.0</v>
      </c>
      <c r="F187" s="26">
        <v>0.0</v>
      </c>
      <c r="G187" s="26">
        <v>835.0</v>
      </c>
      <c r="H187" s="26">
        <v>0.0</v>
      </c>
      <c r="I187" s="26">
        <v>0.0</v>
      </c>
      <c r="J187" s="26">
        <v>800.0</v>
      </c>
      <c r="K187" s="26">
        <v>0.0</v>
      </c>
    </row>
    <row r="188" ht="15.75" customHeight="1">
      <c r="B188" s="26" t="s">
        <v>1074</v>
      </c>
      <c r="C188" s="26" t="s">
        <v>1075</v>
      </c>
      <c r="D188" s="26" t="s">
        <v>1076</v>
      </c>
      <c r="E188" s="26">
        <v>520.0</v>
      </c>
      <c r="F188" s="26">
        <v>520.0</v>
      </c>
      <c r="G188" s="26">
        <v>0.0</v>
      </c>
      <c r="H188" s="26">
        <v>0.0</v>
      </c>
      <c r="I188" s="26">
        <v>0.0</v>
      </c>
      <c r="J188" s="26">
        <v>420.0</v>
      </c>
      <c r="K188" s="26">
        <v>100.0</v>
      </c>
    </row>
    <row r="189" ht="15.75" customHeight="1">
      <c r="B189" s="26" t="s">
        <v>1000</v>
      </c>
      <c r="C189" s="26" t="s">
        <v>1077</v>
      </c>
      <c r="D189" s="26" t="s">
        <v>1078</v>
      </c>
      <c r="E189" s="26">
        <v>95.0</v>
      </c>
      <c r="F189" s="26">
        <v>0.0</v>
      </c>
      <c r="G189" s="26">
        <v>95.0</v>
      </c>
      <c r="H189" s="26">
        <v>0.0</v>
      </c>
      <c r="I189" s="26">
        <v>0.0</v>
      </c>
      <c r="J189" s="26">
        <v>0.0</v>
      </c>
      <c r="K189" s="26">
        <v>95.0</v>
      </c>
    </row>
    <row r="190" ht="15.75" customHeight="1">
      <c r="B190" s="26" t="s">
        <v>1079</v>
      </c>
      <c r="C190" s="26" t="s">
        <v>1080</v>
      </c>
      <c r="D190" s="26" t="s">
        <v>1033</v>
      </c>
      <c r="E190" s="26">
        <v>50.0</v>
      </c>
      <c r="F190" s="26">
        <v>0.0</v>
      </c>
      <c r="G190" s="26">
        <v>50.0</v>
      </c>
      <c r="H190" s="26">
        <v>0.0</v>
      </c>
      <c r="I190" s="26">
        <v>0.0</v>
      </c>
      <c r="J190" s="26">
        <v>0.0</v>
      </c>
      <c r="K190" s="26">
        <v>0.0</v>
      </c>
    </row>
    <row r="191" ht="15.75" customHeight="1">
      <c r="E191" s="28">
        <f>SUM(E187:E190)</f>
        <v>1500</v>
      </c>
      <c r="F191" s="26">
        <v>520.0</v>
      </c>
      <c r="G191" s="28">
        <f t="shared" ref="G191:K191" si="19">SUM(G187:G190)</f>
        <v>980</v>
      </c>
      <c r="H191" s="28">
        <f t="shared" si="19"/>
        <v>0</v>
      </c>
      <c r="I191" s="28">
        <f t="shared" si="19"/>
        <v>0</v>
      </c>
      <c r="J191" s="28">
        <f t="shared" si="19"/>
        <v>1220</v>
      </c>
      <c r="K191" s="28">
        <f t="shared" si="19"/>
        <v>195</v>
      </c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 ht="15.75" customHeight="1">
      <c r="A193" s="32">
        <v>45868.0</v>
      </c>
      <c r="B193" s="26" t="s">
        <v>1081</v>
      </c>
      <c r="C193" s="26" t="s">
        <v>1082</v>
      </c>
      <c r="D193" s="26" t="s">
        <v>144</v>
      </c>
      <c r="E193" s="26">
        <v>20.0</v>
      </c>
      <c r="F193" s="26">
        <v>0.0</v>
      </c>
      <c r="G193" s="26">
        <v>20.0</v>
      </c>
      <c r="H193" s="26">
        <v>0.0</v>
      </c>
      <c r="I193" s="26">
        <v>0.0</v>
      </c>
      <c r="J193" s="26">
        <v>20.0</v>
      </c>
      <c r="K193" s="26">
        <v>0.0</v>
      </c>
    </row>
    <row r="194" ht="15.75" customHeight="1">
      <c r="B194" s="26" t="s">
        <v>774</v>
      </c>
      <c r="C194" s="26" t="s">
        <v>1083</v>
      </c>
      <c r="D194" s="26" t="s">
        <v>224</v>
      </c>
      <c r="E194" s="26">
        <v>250.0</v>
      </c>
      <c r="F194" s="26">
        <v>0.0</v>
      </c>
      <c r="G194" s="26">
        <v>250.0</v>
      </c>
      <c r="H194" s="26">
        <v>0.0</v>
      </c>
      <c r="I194" s="26">
        <v>0.0</v>
      </c>
      <c r="J194" s="26">
        <v>250.0</v>
      </c>
      <c r="K194" s="26">
        <v>0.0</v>
      </c>
    </row>
    <row r="195" ht="15.75" customHeight="1">
      <c r="B195" s="26" t="s">
        <v>1084</v>
      </c>
      <c r="C195" s="26" t="s">
        <v>1085</v>
      </c>
      <c r="D195" s="26" t="s">
        <v>1086</v>
      </c>
      <c r="E195" s="26">
        <v>300.0</v>
      </c>
      <c r="F195" s="26">
        <v>300.0</v>
      </c>
      <c r="G195" s="26">
        <v>0.0</v>
      </c>
      <c r="H195" s="26">
        <v>0.0</v>
      </c>
      <c r="I195" s="26">
        <v>0.0</v>
      </c>
      <c r="J195" s="26">
        <v>300.0</v>
      </c>
      <c r="K195" s="26">
        <v>0.0</v>
      </c>
    </row>
    <row r="196" ht="15.75" customHeight="1">
      <c r="B196" s="26" t="s">
        <v>1087</v>
      </c>
      <c r="C196" s="26" t="s">
        <v>1088</v>
      </c>
      <c r="D196" s="26" t="s">
        <v>1089</v>
      </c>
      <c r="E196" s="26">
        <v>700.0</v>
      </c>
      <c r="F196" s="26">
        <v>700.0</v>
      </c>
      <c r="G196" s="26">
        <v>0.0</v>
      </c>
      <c r="H196" s="26">
        <v>0.0</v>
      </c>
      <c r="I196" s="26">
        <v>0.0</v>
      </c>
      <c r="J196" s="26">
        <v>700.0</v>
      </c>
      <c r="K196" s="26">
        <v>0.0</v>
      </c>
    </row>
    <row r="197" ht="15.75" customHeight="1">
      <c r="B197" s="26" t="s">
        <v>1090</v>
      </c>
      <c r="C197" s="26" t="s">
        <v>1091</v>
      </c>
      <c r="D197" s="26" t="s">
        <v>934</v>
      </c>
      <c r="E197" s="26">
        <v>300.0</v>
      </c>
      <c r="F197" s="26">
        <v>0.0</v>
      </c>
      <c r="G197" s="26">
        <v>300.0</v>
      </c>
      <c r="H197" s="26">
        <v>0.0</v>
      </c>
      <c r="I197" s="26">
        <v>0.0</v>
      </c>
      <c r="J197" s="26">
        <v>300.0</v>
      </c>
      <c r="K197" s="26">
        <v>0.0</v>
      </c>
    </row>
    <row r="198" ht="15.75" customHeight="1">
      <c r="B198" s="26" t="s">
        <v>1092</v>
      </c>
      <c r="C198" s="26" t="s">
        <v>1093</v>
      </c>
      <c r="D198" s="26" t="s">
        <v>337</v>
      </c>
      <c r="E198" s="26">
        <v>100.0</v>
      </c>
      <c r="F198" s="26">
        <v>0.0</v>
      </c>
      <c r="G198" s="26">
        <v>100.0</v>
      </c>
      <c r="H198" s="26">
        <v>0.0</v>
      </c>
      <c r="I198" s="26">
        <v>0.0</v>
      </c>
      <c r="J198" s="26">
        <v>100.0</v>
      </c>
      <c r="K198" s="26">
        <v>0.0</v>
      </c>
    </row>
    <row r="199" ht="15.75" customHeight="1">
      <c r="E199" s="28">
        <f t="shared" ref="E199:G199" si="20">SUM(E193:E198)</f>
        <v>1670</v>
      </c>
      <c r="F199" s="28">
        <f t="shared" si="20"/>
        <v>1000</v>
      </c>
      <c r="G199" s="28">
        <f t="shared" si="20"/>
        <v>670</v>
      </c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 ht="15.75" customHeight="1">
      <c r="A201" s="32">
        <v>45869.0</v>
      </c>
      <c r="B201" s="26" t="s">
        <v>963</v>
      </c>
      <c r="C201" s="26" t="s">
        <v>1094</v>
      </c>
      <c r="D201" s="26" t="s">
        <v>1095</v>
      </c>
      <c r="E201" s="26">
        <v>700.0</v>
      </c>
      <c r="F201" s="26">
        <v>0.0</v>
      </c>
      <c r="G201" s="26">
        <v>700.0</v>
      </c>
      <c r="H201" s="26">
        <v>0.0</v>
      </c>
      <c r="I201" s="26">
        <v>0.0</v>
      </c>
      <c r="J201" s="26">
        <v>700.0</v>
      </c>
      <c r="K201" s="26">
        <v>0.0</v>
      </c>
    </row>
    <row r="202" ht="15.75" customHeight="1">
      <c r="B202" s="26" t="s">
        <v>990</v>
      </c>
      <c r="C202" s="26" t="s">
        <v>1096</v>
      </c>
      <c r="D202" s="26" t="s">
        <v>1097</v>
      </c>
      <c r="E202" s="26">
        <v>1250.0</v>
      </c>
      <c r="F202" s="26">
        <v>0.0</v>
      </c>
      <c r="G202" s="26">
        <v>1250.0</v>
      </c>
      <c r="H202" s="26">
        <v>0.0</v>
      </c>
      <c r="I202" s="26">
        <v>0.0</v>
      </c>
      <c r="J202" s="26">
        <v>1250.0</v>
      </c>
      <c r="K202" s="26">
        <v>0.0</v>
      </c>
    </row>
    <row r="203" ht="15.75" customHeight="1">
      <c r="B203" s="26" t="s">
        <v>1098</v>
      </c>
      <c r="C203" s="26" t="s">
        <v>1099</v>
      </c>
      <c r="D203" s="26" t="s">
        <v>1100</v>
      </c>
      <c r="E203" s="26">
        <v>690.0</v>
      </c>
      <c r="F203" s="26">
        <v>690.0</v>
      </c>
      <c r="G203" s="26">
        <v>0.0</v>
      </c>
      <c r="H203" s="26">
        <v>0.0</v>
      </c>
      <c r="I203" s="26">
        <v>0.0</v>
      </c>
      <c r="J203" s="26">
        <v>690.0</v>
      </c>
      <c r="K203" s="26">
        <v>0.0</v>
      </c>
    </row>
    <row r="204" ht="15.75" customHeight="1">
      <c r="B204" s="26" t="s">
        <v>1101</v>
      </c>
      <c r="C204" s="26" t="s">
        <v>1102</v>
      </c>
      <c r="D204" s="26" t="s">
        <v>1103</v>
      </c>
      <c r="E204" s="26">
        <v>400.0</v>
      </c>
      <c r="F204" s="26">
        <v>400.0</v>
      </c>
      <c r="G204" s="26">
        <v>0.0</v>
      </c>
      <c r="H204" s="26">
        <v>0.0</v>
      </c>
      <c r="I204" s="26">
        <v>0.0</v>
      </c>
      <c r="J204" s="26">
        <v>400.0</v>
      </c>
      <c r="K204" s="26">
        <v>0.0</v>
      </c>
    </row>
    <row r="205" ht="15.75" customHeight="1">
      <c r="B205" s="26" t="s">
        <v>160</v>
      </c>
      <c r="C205" s="26" t="s">
        <v>1104</v>
      </c>
      <c r="D205" s="26" t="s">
        <v>1105</v>
      </c>
      <c r="E205" s="26">
        <v>50.0</v>
      </c>
      <c r="F205" s="26">
        <v>50.0</v>
      </c>
      <c r="G205" s="26">
        <v>0.0</v>
      </c>
      <c r="H205" s="26">
        <v>0.0</v>
      </c>
      <c r="I205" s="26">
        <v>0.0</v>
      </c>
      <c r="J205" s="26">
        <v>0.0</v>
      </c>
      <c r="K205" s="26">
        <v>0.0</v>
      </c>
    </row>
    <row r="206" ht="15.75" customHeight="1">
      <c r="E206" s="28">
        <f t="shared" ref="E206:G206" si="21">SUM(E201:E205)</f>
        <v>3090</v>
      </c>
      <c r="F206" s="28">
        <f t="shared" si="21"/>
        <v>1140</v>
      </c>
      <c r="G206" s="28">
        <f t="shared" si="21"/>
        <v>1950</v>
      </c>
      <c r="H206" s="26">
        <v>0.0</v>
      </c>
      <c r="I206" s="26">
        <v>0.0</v>
      </c>
      <c r="J206" s="26">
        <f>SUM(J201:J205)</f>
        <v>3040</v>
      </c>
      <c r="K206" s="26">
        <v>0.0</v>
      </c>
      <c r="L206" s="26"/>
    </row>
    <row r="207" ht="15.75" customHeight="1"/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 t="s">
        <v>1106</v>
      </c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18"/>
      <c r="M210" s="24" t="s">
        <v>1107</v>
      </c>
    </row>
    <row r="211" ht="15.75" customHeight="1">
      <c r="A211" s="32">
        <v>45902.0</v>
      </c>
      <c r="B211" s="26" t="s">
        <v>1108</v>
      </c>
      <c r="C211" s="26" t="s">
        <v>1109</v>
      </c>
      <c r="D211" s="26" t="s">
        <v>1110</v>
      </c>
      <c r="E211" s="26">
        <v>700.0</v>
      </c>
      <c r="F211" s="26">
        <v>700.0</v>
      </c>
      <c r="G211" s="26">
        <v>0.0</v>
      </c>
      <c r="H211" s="26">
        <v>0.0</v>
      </c>
      <c r="I211" s="26">
        <v>0.0</v>
      </c>
      <c r="J211" s="26">
        <v>700.0</v>
      </c>
      <c r="K211" s="26">
        <v>0.0</v>
      </c>
      <c r="L211" s="19"/>
      <c r="M211" s="19"/>
      <c r="N211" s="19"/>
      <c r="O211" s="19"/>
      <c r="P211" s="19"/>
      <c r="Q211" s="19"/>
    </row>
    <row r="212" ht="15.75" customHeight="1">
      <c r="B212" s="26" t="s">
        <v>1111</v>
      </c>
      <c r="C212" s="26" t="s">
        <v>1112</v>
      </c>
      <c r="D212" s="26" t="s">
        <v>1113</v>
      </c>
      <c r="E212" s="26">
        <v>370.0</v>
      </c>
      <c r="F212" s="26">
        <v>370.0</v>
      </c>
      <c r="G212" s="26">
        <v>0.0</v>
      </c>
      <c r="H212" s="26">
        <v>0.0</v>
      </c>
      <c r="I212" s="26">
        <v>0.0</v>
      </c>
      <c r="J212" s="26">
        <v>370.0</v>
      </c>
      <c r="K212" s="26">
        <v>0.0</v>
      </c>
      <c r="L212" s="19"/>
      <c r="M212" s="19" t="s">
        <v>717</v>
      </c>
      <c r="N212" s="19" t="s">
        <v>718</v>
      </c>
      <c r="O212" s="19" t="s">
        <v>719</v>
      </c>
      <c r="P212" s="19" t="s">
        <v>720</v>
      </c>
      <c r="Q212" s="19"/>
    </row>
    <row r="213" ht="15.75" customHeight="1">
      <c r="E213" s="28">
        <f>SUM(E211:E212)</f>
        <v>1070</v>
      </c>
      <c r="F213" s="26">
        <v>1070.0</v>
      </c>
      <c r="G213" s="26">
        <v>0.0</v>
      </c>
      <c r="H213" s="26">
        <v>0.0</v>
      </c>
      <c r="I213" s="26">
        <v>0.0</v>
      </c>
      <c r="J213" s="26">
        <v>0.0</v>
      </c>
      <c r="K213" s="26">
        <v>0.0</v>
      </c>
      <c r="M213" s="26">
        <v>1070.0</v>
      </c>
      <c r="N213" s="26">
        <v>1070.0</v>
      </c>
      <c r="O213" s="26">
        <v>0.0</v>
      </c>
      <c r="P213" s="26">
        <v>0.0</v>
      </c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M214" s="26">
        <v>50.0</v>
      </c>
      <c r="N214" s="26">
        <v>0.0</v>
      </c>
      <c r="O214" s="26">
        <v>0.0</v>
      </c>
      <c r="P214" s="26">
        <v>50.0</v>
      </c>
    </row>
    <row r="215" ht="15.75" customHeight="1">
      <c r="A215" s="32">
        <v>45904.0</v>
      </c>
      <c r="B215" s="26" t="s">
        <v>698</v>
      </c>
      <c r="C215" s="26" t="s">
        <v>1114</v>
      </c>
      <c r="D215" s="26" t="s">
        <v>678</v>
      </c>
      <c r="E215" s="26">
        <v>500.0</v>
      </c>
      <c r="F215" s="26">
        <v>0.0</v>
      </c>
      <c r="G215" s="26">
        <v>500.0</v>
      </c>
      <c r="H215" s="26">
        <v>0.0</v>
      </c>
      <c r="I215" s="26">
        <v>0.0</v>
      </c>
      <c r="J215" s="26">
        <v>500.0</v>
      </c>
      <c r="K215" s="26">
        <v>0.0</v>
      </c>
      <c r="M215" s="26">
        <v>1925.0</v>
      </c>
      <c r="N215" s="26">
        <v>750.0</v>
      </c>
      <c r="O215" s="26">
        <v>1175.0</v>
      </c>
      <c r="P215" s="26">
        <v>0.0</v>
      </c>
    </row>
    <row r="216" ht="15.75" customHeight="1">
      <c r="B216" s="26" t="s">
        <v>1115</v>
      </c>
      <c r="C216" s="26" t="s">
        <v>1116</v>
      </c>
      <c r="D216" s="26" t="s">
        <v>934</v>
      </c>
      <c r="E216" s="26">
        <v>350.0</v>
      </c>
      <c r="F216" s="26">
        <v>350.0</v>
      </c>
      <c r="G216" s="26">
        <v>0.0</v>
      </c>
      <c r="H216" s="26">
        <v>0.0</v>
      </c>
      <c r="I216" s="26">
        <v>0.0</v>
      </c>
      <c r="J216" s="26">
        <v>350.0</v>
      </c>
      <c r="K216" s="26">
        <v>0.0</v>
      </c>
      <c r="M216" s="26">
        <v>1520.0</v>
      </c>
      <c r="N216" s="26">
        <v>250.0</v>
      </c>
      <c r="O216" s="26">
        <v>1270.0</v>
      </c>
      <c r="P216" s="26">
        <v>0.0</v>
      </c>
    </row>
    <row r="217" ht="15.75" customHeight="1">
      <c r="B217" s="26" t="s">
        <v>1117</v>
      </c>
      <c r="C217" s="26" t="s">
        <v>1118</v>
      </c>
      <c r="D217" s="26" t="s">
        <v>1119</v>
      </c>
      <c r="E217" s="26">
        <v>350.0</v>
      </c>
      <c r="F217" s="26">
        <v>0.0</v>
      </c>
      <c r="G217" s="26">
        <v>350.0</v>
      </c>
      <c r="H217" s="26">
        <v>0.0</v>
      </c>
      <c r="I217" s="26">
        <v>0.0</v>
      </c>
      <c r="J217" s="26">
        <v>350.0</v>
      </c>
      <c r="K217" s="26">
        <v>0.0</v>
      </c>
      <c r="M217" s="26">
        <v>2195.0</v>
      </c>
      <c r="N217" s="26">
        <v>200.0</v>
      </c>
      <c r="O217" s="26">
        <v>1995.0</v>
      </c>
      <c r="P217" s="26">
        <v>0.0</v>
      </c>
    </row>
    <row r="218" ht="15.75" customHeight="1">
      <c r="B218" s="26" t="s">
        <v>1120</v>
      </c>
      <c r="C218" s="26" t="s">
        <v>1121</v>
      </c>
      <c r="D218" s="26" t="s">
        <v>1122</v>
      </c>
      <c r="E218" s="26">
        <v>200.0</v>
      </c>
      <c r="F218" s="26">
        <v>200.0</v>
      </c>
      <c r="G218" s="26">
        <v>0.0</v>
      </c>
      <c r="H218" s="26">
        <v>0.0</v>
      </c>
      <c r="I218" s="26">
        <v>0.0</v>
      </c>
      <c r="J218" s="26">
        <v>200.0</v>
      </c>
      <c r="K218" s="26">
        <v>0.0</v>
      </c>
      <c r="M218" s="26">
        <v>170.0</v>
      </c>
      <c r="N218" s="26">
        <v>0.0</v>
      </c>
      <c r="O218" s="26">
        <v>170.0</v>
      </c>
      <c r="P218" s="26">
        <v>0.0</v>
      </c>
    </row>
    <row r="219" ht="15.75" customHeight="1">
      <c r="B219" s="26" t="s">
        <v>963</v>
      </c>
      <c r="C219" s="26" t="s">
        <v>1123</v>
      </c>
      <c r="D219" s="26" t="s">
        <v>1124</v>
      </c>
      <c r="E219" s="26">
        <v>325.0</v>
      </c>
      <c r="F219" s="26">
        <v>0.0</v>
      </c>
      <c r="G219" s="26">
        <v>325.0</v>
      </c>
      <c r="H219" s="26">
        <v>0.0</v>
      </c>
      <c r="I219" s="26">
        <v>0.0</v>
      </c>
      <c r="J219" s="26">
        <v>250.0</v>
      </c>
      <c r="K219" s="26">
        <v>75.0</v>
      </c>
      <c r="M219" s="26">
        <v>750.0</v>
      </c>
      <c r="N219" s="26">
        <v>250.0</v>
      </c>
      <c r="O219" s="26">
        <v>500.0</v>
      </c>
      <c r="P219" s="26">
        <v>0.0</v>
      </c>
    </row>
    <row r="220" ht="15.75" customHeight="1">
      <c r="B220" s="26" t="s">
        <v>1125</v>
      </c>
      <c r="C220" s="26" t="s">
        <v>1126</v>
      </c>
      <c r="D220" s="26" t="s">
        <v>248</v>
      </c>
      <c r="E220" s="26">
        <v>200.0</v>
      </c>
      <c r="F220" s="26">
        <v>200.0</v>
      </c>
      <c r="G220" s="26">
        <v>0.0</v>
      </c>
      <c r="H220" s="26">
        <v>0.0</v>
      </c>
      <c r="I220" s="26">
        <v>0.0</v>
      </c>
      <c r="J220" s="26">
        <v>200.0</v>
      </c>
      <c r="K220" s="26">
        <v>0.0</v>
      </c>
      <c r="M220" s="26">
        <v>500.0</v>
      </c>
      <c r="N220" s="26">
        <v>500.0</v>
      </c>
      <c r="O220" s="26">
        <v>0.0</v>
      </c>
      <c r="P220" s="26">
        <v>0.0</v>
      </c>
    </row>
    <row r="221" ht="15.75" customHeight="1">
      <c r="E221" s="28">
        <f t="shared" ref="E221:G221" si="22">SUM(E215:E220)</f>
        <v>1925</v>
      </c>
      <c r="F221" s="28">
        <f t="shared" si="22"/>
        <v>750</v>
      </c>
      <c r="G221" s="28">
        <f t="shared" si="22"/>
        <v>1175</v>
      </c>
      <c r="H221" s="26">
        <v>0.0</v>
      </c>
      <c r="I221" s="26">
        <v>0.0</v>
      </c>
      <c r="J221" s="28">
        <f t="shared" ref="J221:K221" si="23">SUM(J215:J220)</f>
        <v>1850</v>
      </c>
      <c r="K221" s="28">
        <f t="shared" si="23"/>
        <v>75</v>
      </c>
      <c r="M221" s="26">
        <v>2040.0</v>
      </c>
      <c r="N221" s="26">
        <v>1340.0</v>
      </c>
      <c r="O221" s="26">
        <v>700.0</v>
      </c>
      <c r="P221" s="26">
        <v>0.0</v>
      </c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M222" s="26">
        <v>610.0</v>
      </c>
      <c r="N222" s="26">
        <v>0.0</v>
      </c>
      <c r="O222" s="26">
        <v>610.0</v>
      </c>
      <c r="P222" s="26">
        <v>0.0</v>
      </c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7" t="s">
        <v>1127</v>
      </c>
      <c r="M223" s="26">
        <v>1970.0</v>
      </c>
      <c r="N223" s="26">
        <v>1620.0</v>
      </c>
      <c r="O223" s="26">
        <v>350.0</v>
      </c>
      <c r="P223" s="26">
        <v>0.0</v>
      </c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8" t="s">
        <v>1128</v>
      </c>
      <c r="L224" s="26"/>
      <c r="M224" s="26">
        <v>730.0</v>
      </c>
      <c r="N224" s="26">
        <v>430.0</v>
      </c>
      <c r="O224" s="26">
        <v>300.0</v>
      </c>
      <c r="P224" s="26">
        <v>0.0</v>
      </c>
    </row>
    <row r="225" ht="15.75" customHeight="1">
      <c r="A225" s="39">
        <v>45908.0</v>
      </c>
      <c r="B225" s="26" t="s">
        <v>1129</v>
      </c>
      <c r="C225" s="26" t="s">
        <v>1130</v>
      </c>
      <c r="D225" s="26" t="s">
        <v>1131</v>
      </c>
      <c r="E225" s="26">
        <v>190.0</v>
      </c>
      <c r="F225" s="26">
        <v>150.0</v>
      </c>
      <c r="G225" s="26">
        <v>40.0</v>
      </c>
      <c r="H225" s="26">
        <v>0.0</v>
      </c>
      <c r="I225" s="26">
        <v>0.0</v>
      </c>
      <c r="J225" s="26">
        <v>150.0</v>
      </c>
      <c r="K225" s="26">
        <v>40.0</v>
      </c>
      <c r="M225" s="26">
        <v>1470.0</v>
      </c>
      <c r="N225" s="26">
        <v>420.0</v>
      </c>
      <c r="O225" s="26">
        <v>250.0</v>
      </c>
      <c r="P225" s="26">
        <v>0.0</v>
      </c>
    </row>
    <row r="226" ht="15.75" customHeight="1">
      <c r="B226" s="26" t="s">
        <v>1132</v>
      </c>
      <c r="C226" s="26" t="s">
        <v>1133</v>
      </c>
      <c r="D226" s="26" t="s">
        <v>1134</v>
      </c>
      <c r="E226" s="26">
        <v>300.0</v>
      </c>
      <c r="F226" s="26">
        <v>0.0</v>
      </c>
      <c r="G226" s="26">
        <v>300.0</v>
      </c>
      <c r="H226" s="26">
        <v>0.0</v>
      </c>
      <c r="I226" s="26">
        <v>0.0</v>
      </c>
      <c r="J226" s="26">
        <v>300.0</v>
      </c>
      <c r="K226" s="26">
        <v>0.0</v>
      </c>
      <c r="M226" s="26">
        <v>250.0</v>
      </c>
      <c r="N226" s="26">
        <v>250.0</v>
      </c>
      <c r="O226" s="26">
        <v>0.0</v>
      </c>
      <c r="P226" s="26">
        <v>0.0</v>
      </c>
    </row>
    <row r="227" ht="15.75" customHeight="1">
      <c r="B227" s="26" t="s">
        <v>1135</v>
      </c>
      <c r="C227" s="26" t="s">
        <v>1136</v>
      </c>
      <c r="D227" s="26" t="s">
        <v>152</v>
      </c>
      <c r="E227" s="26">
        <v>200.0</v>
      </c>
      <c r="F227" s="26">
        <v>0.0</v>
      </c>
      <c r="G227" s="26">
        <v>200.0</v>
      </c>
      <c r="H227" s="26">
        <v>0.0</v>
      </c>
      <c r="I227" s="26">
        <v>0.0</v>
      </c>
      <c r="J227" s="26">
        <v>200.0</v>
      </c>
      <c r="K227" s="26">
        <v>0.0</v>
      </c>
      <c r="M227" s="26">
        <v>1200.0</v>
      </c>
      <c r="N227" s="26">
        <v>750.0</v>
      </c>
      <c r="O227" s="26">
        <v>430.0</v>
      </c>
      <c r="P227" s="26">
        <v>0.0</v>
      </c>
    </row>
    <row r="228" ht="15.75" customHeight="1">
      <c r="B228" s="26" t="s">
        <v>1064</v>
      </c>
      <c r="C228" s="26" t="s">
        <v>1137</v>
      </c>
      <c r="D228" s="26" t="s">
        <v>1086</v>
      </c>
      <c r="E228" s="26">
        <v>700.0</v>
      </c>
      <c r="F228" s="26">
        <v>0.0</v>
      </c>
      <c r="G228" s="26">
        <v>700.0</v>
      </c>
      <c r="H228" s="26">
        <v>0.0</v>
      </c>
      <c r="I228" s="26">
        <v>0.0</v>
      </c>
      <c r="J228" s="26">
        <v>700.0</v>
      </c>
      <c r="K228" s="26">
        <v>0.0</v>
      </c>
      <c r="M228" s="28">
        <f t="shared" ref="M228:P228" si="24">SUM(M213:M227)</f>
        <v>16450</v>
      </c>
      <c r="N228" s="28">
        <f t="shared" si="24"/>
        <v>7830</v>
      </c>
      <c r="O228" s="28">
        <f t="shared" si="24"/>
        <v>7750</v>
      </c>
      <c r="P228" s="28">
        <f t="shared" si="24"/>
        <v>50</v>
      </c>
    </row>
    <row r="229" ht="15.75" customHeight="1">
      <c r="B229" s="26" t="s">
        <v>112</v>
      </c>
      <c r="C229" s="26" t="s">
        <v>1138</v>
      </c>
      <c r="D229" s="26" t="s">
        <v>111</v>
      </c>
      <c r="E229" s="26">
        <v>130.0</v>
      </c>
      <c r="F229" s="26">
        <v>100.0</v>
      </c>
      <c r="G229" s="26">
        <v>30.0</v>
      </c>
      <c r="H229" s="26">
        <v>0.0</v>
      </c>
      <c r="I229" s="26">
        <v>0.0</v>
      </c>
      <c r="J229" s="26">
        <v>130.0</v>
      </c>
      <c r="K229" s="26">
        <v>0.0</v>
      </c>
    </row>
    <row r="230" ht="15.75" customHeight="1">
      <c r="E230" s="28">
        <f t="shared" ref="E230:G230" si="25">SUM(E225:E229)</f>
        <v>1520</v>
      </c>
      <c r="F230" s="28">
        <f t="shared" si="25"/>
        <v>250</v>
      </c>
      <c r="G230" s="28">
        <f t="shared" si="25"/>
        <v>1270</v>
      </c>
      <c r="H230" s="26">
        <v>0.0</v>
      </c>
      <c r="I230" s="26">
        <v>0.0</v>
      </c>
      <c r="J230" s="28">
        <f t="shared" ref="J230:K230" si="26">SUM(J225:J229)</f>
        <v>1480</v>
      </c>
      <c r="K230" s="28">
        <f t="shared" si="26"/>
        <v>40</v>
      </c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 ht="15.75" customHeight="1">
      <c r="A232" s="39">
        <v>45909.0</v>
      </c>
      <c r="B232" s="26" t="s">
        <v>1139</v>
      </c>
      <c r="C232" s="26" t="s">
        <v>1140</v>
      </c>
      <c r="D232" s="26" t="s">
        <v>1141</v>
      </c>
      <c r="E232" s="26">
        <v>100.0</v>
      </c>
      <c r="F232" s="26">
        <v>0.0</v>
      </c>
      <c r="G232" s="26">
        <v>100.0</v>
      </c>
      <c r="H232" s="26">
        <v>0.0</v>
      </c>
      <c r="I232" s="26">
        <v>0.0</v>
      </c>
      <c r="J232" s="26">
        <v>100.0</v>
      </c>
      <c r="K232" s="26">
        <v>0.0</v>
      </c>
    </row>
    <row r="233" ht="15.75" customHeight="1">
      <c r="B233" s="26" t="s">
        <v>774</v>
      </c>
      <c r="C233" s="26" t="s">
        <v>1142</v>
      </c>
      <c r="D233" s="26" t="s">
        <v>1143</v>
      </c>
      <c r="E233" s="26">
        <v>250.0</v>
      </c>
      <c r="F233" s="26">
        <v>0.0</v>
      </c>
      <c r="G233" s="26">
        <v>250.0</v>
      </c>
      <c r="H233" s="26">
        <v>0.0</v>
      </c>
      <c r="I233" s="26">
        <v>0.0</v>
      </c>
      <c r="J233" s="26">
        <v>250.0</v>
      </c>
      <c r="K233" s="26">
        <v>0.0</v>
      </c>
    </row>
    <row r="234" ht="15.75" customHeight="1">
      <c r="B234" s="26" t="s">
        <v>160</v>
      </c>
      <c r="C234" s="26" t="s">
        <v>1144</v>
      </c>
      <c r="D234" s="26" t="s">
        <v>1145</v>
      </c>
      <c r="E234" s="26">
        <v>600.0</v>
      </c>
      <c r="F234" s="26">
        <v>200.0</v>
      </c>
      <c r="G234" s="26">
        <v>400.0</v>
      </c>
      <c r="H234" s="26">
        <v>0.0</v>
      </c>
      <c r="I234" s="26">
        <v>280.0</v>
      </c>
      <c r="J234" s="26">
        <v>320.0</v>
      </c>
      <c r="K234" s="26">
        <v>0.0</v>
      </c>
    </row>
    <row r="235" ht="15.75" customHeight="1">
      <c r="B235" s="26" t="s">
        <v>1039</v>
      </c>
      <c r="C235" s="26" t="s">
        <v>1146</v>
      </c>
      <c r="D235" s="26" t="s">
        <v>1147</v>
      </c>
      <c r="E235" s="26">
        <v>675.0</v>
      </c>
      <c r="F235" s="26">
        <v>0.0</v>
      </c>
      <c r="G235" s="26">
        <v>675.0</v>
      </c>
      <c r="H235" s="26">
        <v>0.0</v>
      </c>
      <c r="I235" s="26">
        <v>0.0</v>
      </c>
      <c r="J235" s="26">
        <v>675.0</v>
      </c>
      <c r="K235" s="26">
        <v>0.0</v>
      </c>
    </row>
    <row r="236" ht="15.75" customHeight="1">
      <c r="B236" s="26" t="s">
        <v>1148</v>
      </c>
      <c r="C236" s="26" t="s">
        <v>1149</v>
      </c>
      <c r="D236" s="26" t="s">
        <v>1150</v>
      </c>
      <c r="E236" s="26">
        <v>320.0</v>
      </c>
      <c r="F236" s="26">
        <v>0.0</v>
      </c>
      <c r="G236" s="26">
        <v>320.0</v>
      </c>
      <c r="H236" s="26">
        <v>0.0</v>
      </c>
      <c r="I236" s="26">
        <v>0.0</v>
      </c>
      <c r="J236" s="26">
        <v>320.0</v>
      </c>
      <c r="K236" s="26">
        <v>0.0</v>
      </c>
    </row>
    <row r="237" ht="15.75" customHeight="1">
      <c r="B237" s="26" t="s">
        <v>1041</v>
      </c>
      <c r="C237" s="26" t="s">
        <v>1151</v>
      </c>
      <c r="D237" s="26" t="s">
        <v>1152</v>
      </c>
      <c r="E237" s="26">
        <v>250.0</v>
      </c>
      <c r="F237" s="26">
        <v>0.0</v>
      </c>
      <c r="G237" s="26">
        <v>250.0</v>
      </c>
      <c r="H237" s="26">
        <v>0.0</v>
      </c>
      <c r="I237" s="26">
        <v>0.0</v>
      </c>
      <c r="J237" s="26">
        <v>250.0</v>
      </c>
      <c r="K237" s="26">
        <v>0.0</v>
      </c>
    </row>
    <row r="238" ht="15.75" customHeight="1">
      <c r="E238" s="28">
        <f t="shared" ref="E238:G238" si="27">SUM(E232:E237)</f>
        <v>2195</v>
      </c>
      <c r="F238" s="28">
        <f t="shared" si="27"/>
        <v>200</v>
      </c>
      <c r="G238" s="28">
        <f t="shared" si="27"/>
        <v>1995</v>
      </c>
      <c r="H238" s="26">
        <v>0.0</v>
      </c>
      <c r="I238" s="28">
        <f t="shared" ref="I238:J238" si="28">SUM(I232:I237)</f>
        <v>280</v>
      </c>
      <c r="J238" s="28">
        <f t="shared" si="28"/>
        <v>1915</v>
      </c>
      <c r="K238" s="26">
        <v>0.0</v>
      </c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 ht="15.75" customHeight="1">
      <c r="A240" s="39">
        <v>45910.0</v>
      </c>
      <c r="B240" s="26" t="s">
        <v>1079</v>
      </c>
      <c r="C240" s="26" t="s">
        <v>1153</v>
      </c>
      <c r="D240" s="26" t="s">
        <v>984</v>
      </c>
      <c r="E240" s="26">
        <v>120.0</v>
      </c>
      <c r="F240" s="26">
        <v>0.0</v>
      </c>
      <c r="G240" s="26">
        <v>120.0</v>
      </c>
      <c r="H240" s="26">
        <v>0.0</v>
      </c>
      <c r="I240" s="26">
        <v>0.0</v>
      </c>
      <c r="J240" s="26">
        <v>120.0</v>
      </c>
      <c r="K240" s="26">
        <v>0.0</v>
      </c>
    </row>
    <row r="241" ht="15.75" customHeight="1">
      <c r="B241" s="26" t="s">
        <v>1154</v>
      </c>
      <c r="C241" s="26" t="s">
        <v>1155</v>
      </c>
      <c r="D241" s="26" t="s">
        <v>1122</v>
      </c>
      <c r="E241" s="26">
        <v>50.0</v>
      </c>
      <c r="F241" s="26">
        <v>0.0</v>
      </c>
      <c r="G241" s="26">
        <v>50.0</v>
      </c>
      <c r="H241" s="26">
        <v>0.0</v>
      </c>
      <c r="I241" s="26">
        <v>50.0</v>
      </c>
      <c r="J241" s="26">
        <v>0.0</v>
      </c>
      <c r="K241" s="26">
        <v>0.0</v>
      </c>
    </row>
    <row r="242" ht="15.75" customHeight="1">
      <c r="E242" s="28">
        <f>SUM(E240:E241)</f>
        <v>170</v>
      </c>
      <c r="F242" s="26">
        <v>0.0</v>
      </c>
      <c r="G242" s="28">
        <f>SUM(G240:G241)</f>
        <v>170</v>
      </c>
      <c r="H242" s="26">
        <v>0.0</v>
      </c>
      <c r="I242" s="26">
        <v>50.0</v>
      </c>
      <c r="J242" s="26">
        <v>120.0</v>
      </c>
      <c r="K242" s="26">
        <v>0.0</v>
      </c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 ht="15.75" customHeight="1">
      <c r="A244" s="39">
        <v>45911.0</v>
      </c>
      <c r="B244" s="26" t="s">
        <v>841</v>
      </c>
      <c r="C244" s="26" t="s">
        <v>1156</v>
      </c>
      <c r="D244" s="26" t="s">
        <v>1157</v>
      </c>
      <c r="E244" s="26">
        <v>250.0</v>
      </c>
      <c r="F244" s="26">
        <v>250.0</v>
      </c>
      <c r="G244" s="26">
        <v>0.0</v>
      </c>
      <c r="H244" s="26">
        <v>0.0</v>
      </c>
      <c r="I244" s="26">
        <v>0.0</v>
      </c>
      <c r="J244" s="26">
        <v>250.0</v>
      </c>
      <c r="K244" s="26">
        <v>0.0</v>
      </c>
    </row>
    <row r="245" ht="15.75" customHeight="1">
      <c r="B245" s="26" t="s">
        <v>995</v>
      </c>
      <c r="C245" s="26" t="s">
        <v>1158</v>
      </c>
      <c r="D245" s="26" t="s">
        <v>1159</v>
      </c>
      <c r="E245" s="26">
        <v>500.0</v>
      </c>
      <c r="F245" s="26">
        <v>0.0</v>
      </c>
      <c r="G245" s="26">
        <v>500.0</v>
      </c>
      <c r="H245" s="26">
        <v>0.0</v>
      </c>
      <c r="I245" s="26">
        <v>500.0</v>
      </c>
      <c r="J245" s="26">
        <v>0.0</v>
      </c>
      <c r="K245" s="26">
        <v>0.0</v>
      </c>
    </row>
    <row r="246" ht="15.75" customHeight="1">
      <c r="E246" s="28">
        <f t="shared" ref="E246:K246" si="29">SUM(E244:E245)</f>
        <v>750</v>
      </c>
      <c r="F246" s="28">
        <f t="shared" si="29"/>
        <v>250</v>
      </c>
      <c r="G246" s="28">
        <f t="shared" si="29"/>
        <v>500</v>
      </c>
      <c r="H246" s="28">
        <f t="shared" si="29"/>
        <v>0</v>
      </c>
      <c r="I246" s="28">
        <f t="shared" si="29"/>
        <v>500</v>
      </c>
      <c r="J246" s="28">
        <f t="shared" si="29"/>
        <v>250</v>
      </c>
      <c r="K246" s="28">
        <f t="shared" si="29"/>
        <v>0</v>
      </c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</row>
    <row r="250" ht="15.75" customHeight="1">
      <c r="A250" s="39">
        <v>45915.0</v>
      </c>
      <c r="B250" s="26" t="s">
        <v>1160</v>
      </c>
      <c r="C250" s="26" t="s">
        <v>1161</v>
      </c>
      <c r="D250" s="26" t="s">
        <v>1162</v>
      </c>
      <c r="E250" s="26">
        <v>500.0</v>
      </c>
      <c r="F250" s="26">
        <v>500.0</v>
      </c>
      <c r="G250" s="26">
        <v>0.0</v>
      </c>
      <c r="H250" s="26">
        <v>0.0</v>
      </c>
      <c r="I250" s="26">
        <v>500.0</v>
      </c>
      <c r="J250" s="26">
        <v>0.0</v>
      </c>
      <c r="K250" s="26">
        <v>0.0</v>
      </c>
    </row>
    <row r="251" ht="15.75" customHeight="1">
      <c r="E251" s="26">
        <v>500.0</v>
      </c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 ht="15.75" customHeight="1">
      <c r="A253" s="39">
        <v>45916.0</v>
      </c>
      <c r="B253" s="26" t="s">
        <v>1163</v>
      </c>
      <c r="C253" s="26" t="s">
        <v>1164</v>
      </c>
      <c r="D253" s="26" t="s">
        <v>337</v>
      </c>
      <c r="E253" s="26">
        <v>250.0</v>
      </c>
      <c r="F253" s="26">
        <v>0.0</v>
      </c>
      <c r="G253" s="26">
        <v>250.0</v>
      </c>
      <c r="H253" s="26">
        <v>0.0</v>
      </c>
      <c r="I253" s="26">
        <v>0.0</v>
      </c>
      <c r="J253" s="26">
        <v>250.0</v>
      </c>
      <c r="K253" s="26">
        <v>0.0</v>
      </c>
    </row>
    <row r="254" ht="15.75" customHeight="1">
      <c r="B254" s="26" t="s">
        <v>940</v>
      </c>
      <c r="C254" s="26" t="s">
        <v>1165</v>
      </c>
      <c r="D254" s="26" t="s">
        <v>337</v>
      </c>
      <c r="E254" s="26">
        <v>200.0</v>
      </c>
      <c r="F254" s="26">
        <v>0.0</v>
      </c>
      <c r="G254" s="26">
        <v>200.0</v>
      </c>
      <c r="J254" s="26">
        <v>200.0</v>
      </c>
    </row>
    <row r="255" ht="15.75" customHeight="1">
      <c r="B255" s="26" t="s">
        <v>1166</v>
      </c>
      <c r="C255" s="26" t="s">
        <v>1167</v>
      </c>
      <c r="D255" s="26" t="s">
        <v>51</v>
      </c>
      <c r="E255" s="26">
        <v>320.0</v>
      </c>
      <c r="F255" s="26">
        <v>320.0</v>
      </c>
      <c r="G255" s="26">
        <v>0.0</v>
      </c>
      <c r="H255" s="26">
        <v>0.0</v>
      </c>
      <c r="I255" s="26">
        <v>0.0</v>
      </c>
      <c r="J255" s="26">
        <v>320.0</v>
      </c>
    </row>
    <row r="256" ht="15.75" customHeight="1">
      <c r="B256" s="26" t="s">
        <v>471</v>
      </c>
      <c r="C256" s="26" t="s">
        <v>1168</v>
      </c>
      <c r="D256" s="26" t="s">
        <v>1169</v>
      </c>
      <c r="E256" s="26">
        <v>700.0</v>
      </c>
      <c r="F256" s="26">
        <v>700.0</v>
      </c>
      <c r="G256" s="26">
        <v>0.0</v>
      </c>
      <c r="H256" s="26">
        <v>0.0</v>
      </c>
      <c r="I256" s="26">
        <v>0.0</v>
      </c>
      <c r="J256" s="26">
        <v>700.0</v>
      </c>
      <c r="K256" s="26">
        <v>0.0</v>
      </c>
    </row>
    <row r="257" ht="15.75" customHeight="1">
      <c r="B257" s="26" t="s">
        <v>1170</v>
      </c>
      <c r="C257" s="26" t="s">
        <v>1171</v>
      </c>
      <c r="D257" s="26" t="s">
        <v>51</v>
      </c>
      <c r="E257" s="26">
        <v>320.0</v>
      </c>
      <c r="F257" s="26">
        <v>320.0</v>
      </c>
      <c r="G257" s="26">
        <v>0.0</v>
      </c>
    </row>
    <row r="258" ht="15.75" customHeight="1">
      <c r="B258" s="26" t="s">
        <v>1172</v>
      </c>
      <c r="C258" s="26" t="s">
        <v>1173</v>
      </c>
      <c r="D258" s="26" t="s">
        <v>127</v>
      </c>
      <c r="E258" s="26">
        <v>250.0</v>
      </c>
      <c r="F258" s="26">
        <v>0.0</v>
      </c>
      <c r="G258" s="26">
        <v>250.0</v>
      </c>
    </row>
    <row r="259" ht="15.75" customHeight="1">
      <c r="E259" s="28">
        <f t="shared" ref="E259:G259" si="30">SUM(E253:E258)</f>
        <v>2040</v>
      </c>
      <c r="F259" s="28">
        <f t="shared" si="30"/>
        <v>1340</v>
      </c>
      <c r="G259" s="28">
        <f t="shared" si="30"/>
        <v>700</v>
      </c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 ht="15.75" customHeight="1">
      <c r="A261" s="26" t="s">
        <v>1174</v>
      </c>
      <c r="B261" s="26" t="s">
        <v>1175</v>
      </c>
      <c r="C261" s="26" t="s">
        <v>1176</v>
      </c>
      <c r="D261" s="26" t="s">
        <v>1177</v>
      </c>
      <c r="E261" s="26">
        <v>300.0</v>
      </c>
      <c r="F261" s="26">
        <v>0.0</v>
      </c>
      <c r="G261" s="26">
        <v>300.0</v>
      </c>
      <c r="H261" s="26">
        <v>0.0</v>
      </c>
      <c r="I261" s="26">
        <v>0.0</v>
      </c>
      <c r="J261" s="26">
        <v>300.0</v>
      </c>
      <c r="K261" s="26">
        <v>0.0</v>
      </c>
    </row>
    <row r="262" ht="15.75" customHeight="1">
      <c r="B262" s="26" t="s">
        <v>1178</v>
      </c>
      <c r="C262" s="26" t="s">
        <v>1179</v>
      </c>
      <c r="D262" s="26" t="s">
        <v>1134</v>
      </c>
      <c r="E262" s="26">
        <v>250.0</v>
      </c>
      <c r="F262" s="26">
        <v>0.0</v>
      </c>
      <c r="G262" s="26">
        <v>250.0</v>
      </c>
      <c r="H262" s="26">
        <v>0.0</v>
      </c>
      <c r="I262" s="26">
        <v>0.0</v>
      </c>
      <c r="J262" s="26">
        <v>250.0</v>
      </c>
      <c r="K262" s="26">
        <v>0.0</v>
      </c>
    </row>
    <row r="263" ht="15.75" customHeight="1">
      <c r="B263" s="26" t="s">
        <v>1180</v>
      </c>
      <c r="C263" s="26" t="s">
        <v>1181</v>
      </c>
      <c r="D263" s="26" t="s">
        <v>1182</v>
      </c>
      <c r="E263" s="26">
        <v>60.0</v>
      </c>
      <c r="F263" s="26">
        <v>0.0</v>
      </c>
      <c r="G263" s="26">
        <v>60.0</v>
      </c>
      <c r="H263" s="26">
        <v>0.0</v>
      </c>
      <c r="I263" s="26">
        <v>0.0</v>
      </c>
      <c r="J263" s="26">
        <v>0.0</v>
      </c>
      <c r="K263" s="26">
        <v>60.0</v>
      </c>
    </row>
    <row r="264" ht="15.75" customHeight="1">
      <c r="E264" s="28">
        <f t="shared" ref="E264:G264" si="31">SUM(E261:E263)</f>
        <v>610</v>
      </c>
      <c r="F264" s="28">
        <f t="shared" si="31"/>
        <v>0</v>
      </c>
      <c r="G264" s="28">
        <f t="shared" si="31"/>
        <v>610</v>
      </c>
      <c r="H264" s="26">
        <v>0.0</v>
      </c>
      <c r="I264" s="26">
        <v>0.0</v>
      </c>
      <c r="J264" s="28">
        <f t="shared" ref="J264:K264" si="32">SUM(J261:J263)</f>
        <v>550</v>
      </c>
      <c r="K264" s="28">
        <f t="shared" si="32"/>
        <v>60</v>
      </c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 ht="15.75" customHeight="1">
      <c r="A266" s="39">
        <v>45918.0</v>
      </c>
      <c r="B266" s="26" t="s">
        <v>1005</v>
      </c>
      <c r="C266" s="26" t="s">
        <v>1183</v>
      </c>
      <c r="D266" s="26" t="s">
        <v>1184</v>
      </c>
      <c r="E266" s="26">
        <v>800.0</v>
      </c>
      <c r="F266" s="26">
        <v>800.0</v>
      </c>
      <c r="G266" s="26">
        <v>0.0</v>
      </c>
      <c r="H266" s="26">
        <v>0.0</v>
      </c>
      <c r="I266" s="26">
        <v>0.0</v>
      </c>
      <c r="J266" s="26">
        <v>800.0</v>
      </c>
      <c r="K266" s="26">
        <v>0.0</v>
      </c>
    </row>
    <row r="267" ht="15.75" customHeight="1">
      <c r="B267" s="26" t="s">
        <v>1185</v>
      </c>
      <c r="E267" s="26">
        <v>920.0</v>
      </c>
      <c r="F267" s="26">
        <v>820.0</v>
      </c>
      <c r="G267" s="26">
        <v>100.0</v>
      </c>
    </row>
    <row r="268" ht="15.75" customHeight="1">
      <c r="E268" s="26">
        <v>250.0</v>
      </c>
      <c r="F268" s="26">
        <v>0.0</v>
      </c>
      <c r="G268" s="26">
        <v>250.0</v>
      </c>
    </row>
    <row r="269" ht="15.75" customHeight="1">
      <c r="E269" s="28">
        <f t="shared" ref="E269:G269" si="33">SUM(E266:E268)</f>
        <v>1970</v>
      </c>
      <c r="F269" s="28">
        <f t="shared" si="33"/>
        <v>1620</v>
      </c>
      <c r="G269" s="28">
        <f t="shared" si="33"/>
        <v>350</v>
      </c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</row>
    <row r="271" ht="15.75" customHeight="1">
      <c r="A271" s="40">
        <v>45922.0</v>
      </c>
      <c r="B271" s="26" t="s">
        <v>1186</v>
      </c>
      <c r="C271" s="26" t="s">
        <v>1187</v>
      </c>
      <c r="D271" s="41" t="s">
        <v>853</v>
      </c>
      <c r="E271" s="26">
        <v>430.0</v>
      </c>
      <c r="F271" s="41">
        <v>430.0</v>
      </c>
      <c r="G271" s="42">
        <v>0.0</v>
      </c>
      <c r="H271" s="42">
        <v>0.0</v>
      </c>
      <c r="I271" s="42">
        <v>0.0</v>
      </c>
      <c r="J271" s="42">
        <v>430.0</v>
      </c>
      <c r="K271" s="42">
        <v>0.0</v>
      </c>
    </row>
    <row r="272" ht="15.75" customHeight="1">
      <c r="B272" s="43" t="s">
        <v>1132</v>
      </c>
      <c r="C272" s="26" t="s">
        <v>1188</v>
      </c>
      <c r="D272" s="26" t="s">
        <v>1143</v>
      </c>
      <c r="E272" s="26">
        <v>300.0</v>
      </c>
      <c r="F272" s="26">
        <v>0.0</v>
      </c>
      <c r="G272" s="26">
        <v>300.0</v>
      </c>
      <c r="H272" s="26">
        <v>0.0</v>
      </c>
      <c r="I272" s="26">
        <v>300.0</v>
      </c>
      <c r="J272" s="26">
        <v>0.0</v>
      </c>
      <c r="K272" s="26">
        <v>0.0</v>
      </c>
    </row>
    <row r="273" ht="15.75" customHeight="1">
      <c r="E273" s="28">
        <f>SUM(E271:E272)</f>
        <v>730</v>
      </c>
      <c r="F273" s="26">
        <v>430.0</v>
      </c>
      <c r="G273" s="26">
        <v>0.0</v>
      </c>
      <c r="H273" s="26">
        <v>0.0</v>
      </c>
      <c r="I273" s="26">
        <v>0.0</v>
      </c>
      <c r="J273" s="26">
        <v>0.0</v>
      </c>
      <c r="K273" s="26">
        <v>0.0</v>
      </c>
    </row>
    <row r="274" ht="15.75" customHeight="1">
      <c r="K274" s="26" t="s">
        <v>1189</v>
      </c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4" t="s">
        <v>1190</v>
      </c>
    </row>
    <row r="276" ht="15.75" customHeight="1">
      <c r="A276" s="39">
        <v>45923.0</v>
      </c>
      <c r="B276" s="26" t="s">
        <v>1191</v>
      </c>
      <c r="C276" s="26" t="s">
        <v>817</v>
      </c>
      <c r="D276" s="26" t="s">
        <v>51</v>
      </c>
      <c r="E276" s="26">
        <v>300.0</v>
      </c>
      <c r="F276" s="26">
        <v>0.0</v>
      </c>
      <c r="G276" s="26">
        <v>300.0</v>
      </c>
      <c r="H276" s="26">
        <v>0.0</v>
      </c>
      <c r="I276" s="26">
        <v>0.0</v>
      </c>
      <c r="J276" s="26">
        <v>300.0</v>
      </c>
      <c r="K276" s="26">
        <v>0.0</v>
      </c>
    </row>
    <row r="277" ht="15.75" customHeight="1">
      <c r="B277" s="26" t="s">
        <v>1192</v>
      </c>
      <c r="C277" s="26" t="s">
        <v>1193</v>
      </c>
      <c r="D277" s="26" t="s">
        <v>934</v>
      </c>
      <c r="E277" s="26">
        <v>450.0</v>
      </c>
      <c r="F277" s="26">
        <v>200.0</v>
      </c>
      <c r="G277" s="26">
        <v>250.0</v>
      </c>
      <c r="H277" s="26">
        <v>0.0</v>
      </c>
      <c r="I277" s="26">
        <v>0.0</v>
      </c>
      <c r="J277" s="26">
        <v>450.0</v>
      </c>
      <c r="K277" s="26">
        <v>0.0</v>
      </c>
    </row>
    <row r="278" ht="15.75" customHeight="1">
      <c r="B278" s="26" t="s">
        <v>1194</v>
      </c>
      <c r="C278" s="26" t="s">
        <v>1195</v>
      </c>
      <c r="D278" s="26" t="s">
        <v>475</v>
      </c>
      <c r="E278" s="26">
        <v>500.0</v>
      </c>
      <c r="F278" s="26">
        <v>0.0</v>
      </c>
      <c r="G278" s="26">
        <v>500.0</v>
      </c>
      <c r="H278" s="26">
        <v>0.0</v>
      </c>
      <c r="I278" s="26">
        <v>500.0</v>
      </c>
      <c r="J278" s="26">
        <v>0.0</v>
      </c>
      <c r="K278" s="26">
        <v>0.0</v>
      </c>
    </row>
    <row r="279" ht="15.75" customHeight="1">
      <c r="B279" s="26" t="s">
        <v>271</v>
      </c>
      <c r="C279" s="26" t="s">
        <v>1196</v>
      </c>
      <c r="D279" s="26" t="s">
        <v>1197</v>
      </c>
      <c r="E279" s="26">
        <v>220.0</v>
      </c>
      <c r="F279" s="26">
        <v>220.0</v>
      </c>
      <c r="G279" s="26">
        <v>0.0</v>
      </c>
      <c r="H279" s="26">
        <v>0.0</v>
      </c>
      <c r="I279" s="26">
        <v>0.0</v>
      </c>
      <c r="J279" s="26">
        <v>0.0</v>
      </c>
      <c r="K279" s="26">
        <v>220.0</v>
      </c>
    </row>
    <row r="280" ht="15.75" customHeight="1">
      <c r="B280" s="44"/>
      <c r="E280" s="28">
        <f t="shared" ref="E280:K280" si="34">SUM(E276:E279)</f>
        <v>1470</v>
      </c>
      <c r="F280" s="28">
        <f t="shared" si="34"/>
        <v>420</v>
      </c>
      <c r="G280" s="28">
        <f t="shared" si="34"/>
        <v>1050</v>
      </c>
      <c r="H280" s="28">
        <f t="shared" si="34"/>
        <v>0</v>
      </c>
      <c r="I280" s="28">
        <f t="shared" si="34"/>
        <v>500</v>
      </c>
      <c r="J280" s="28">
        <f t="shared" si="34"/>
        <v>750</v>
      </c>
      <c r="K280" s="28">
        <f t="shared" si="34"/>
        <v>220</v>
      </c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4" t="s">
        <v>1198</v>
      </c>
    </row>
    <row r="282" ht="15.75" customHeight="1">
      <c r="A282" s="32">
        <v>45924.0</v>
      </c>
      <c r="B282" s="26" t="s">
        <v>1199</v>
      </c>
      <c r="C282" s="26" t="s">
        <v>1200</v>
      </c>
      <c r="D282" s="26" t="s">
        <v>548</v>
      </c>
      <c r="E282" s="26">
        <v>420.0</v>
      </c>
      <c r="G282" s="26">
        <v>420.0</v>
      </c>
      <c r="H282" s="26">
        <v>0.0</v>
      </c>
      <c r="I282" s="26">
        <v>0.0</v>
      </c>
    </row>
    <row r="283" ht="15.75" customHeight="1">
      <c r="B283" s="26" t="s">
        <v>1201</v>
      </c>
      <c r="C283" s="26" t="s">
        <v>385</v>
      </c>
      <c r="D283" s="26" t="s">
        <v>337</v>
      </c>
      <c r="E283" s="26">
        <v>250.0</v>
      </c>
      <c r="F283" s="26">
        <v>0.0</v>
      </c>
      <c r="G283" s="26">
        <v>250.0</v>
      </c>
      <c r="H283" s="26">
        <v>0.0</v>
      </c>
      <c r="I283" s="26">
        <v>0.0</v>
      </c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 ht="15.75" customHeight="1">
      <c r="A297" s="32">
        <v>45930.0</v>
      </c>
      <c r="B297" s="26" t="s">
        <v>821</v>
      </c>
      <c r="C297" s="26" t="s">
        <v>1202</v>
      </c>
      <c r="D297" s="26" t="s">
        <v>476</v>
      </c>
      <c r="E297" s="26">
        <v>500.0</v>
      </c>
      <c r="F297" s="26">
        <v>500.0</v>
      </c>
      <c r="G297" s="26">
        <v>0.0</v>
      </c>
      <c r="H297" s="26">
        <v>0.0</v>
      </c>
      <c r="I297" s="26">
        <v>0.0</v>
      </c>
      <c r="J297" s="26">
        <v>500.0</v>
      </c>
      <c r="K297" s="26">
        <v>0.0</v>
      </c>
    </row>
    <row r="298" ht="15.75" customHeight="1">
      <c r="B298" s="26" t="s">
        <v>759</v>
      </c>
      <c r="C298" s="26" t="s">
        <v>1203</v>
      </c>
      <c r="D298" s="26" t="s">
        <v>1204</v>
      </c>
      <c r="E298" s="26">
        <v>370.0</v>
      </c>
      <c r="F298" s="26">
        <v>0.0</v>
      </c>
      <c r="G298" s="26">
        <v>350.0</v>
      </c>
      <c r="H298" s="26">
        <v>0.0</v>
      </c>
      <c r="I298" s="26">
        <v>0.0</v>
      </c>
      <c r="J298" s="26">
        <v>320.0</v>
      </c>
      <c r="K298" s="26">
        <v>50.0</v>
      </c>
    </row>
    <row r="299" ht="15.75" customHeight="1">
      <c r="B299" s="26" t="s">
        <v>1205</v>
      </c>
      <c r="C299" s="26" t="s">
        <v>1206</v>
      </c>
      <c r="D299" s="26" t="s">
        <v>755</v>
      </c>
      <c r="E299" s="26">
        <v>80.0</v>
      </c>
      <c r="F299" s="26">
        <v>0.0</v>
      </c>
      <c r="G299" s="26">
        <v>80.0</v>
      </c>
      <c r="H299" s="26">
        <v>0.0</v>
      </c>
      <c r="I299" s="26">
        <v>0.0</v>
      </c>
      <c r="J299" s="26">
        <v>80.0</v>
      </c>
      <c r="K299" s="26">
        <v>0.0</v>
      </c>
    </row>
    <row r="300" ht="15.75" customHeight="1">
      <c r="B300" s="26" t="s">
        <v>1087</v>
      </c>
      <c r="C300" s="26" t="s">
        <v>1207</v>
      </c>
      <c r="D300" s="26" t="s">
        <v>152</v>
      </c>
      <c r="E300" s="26">
        <v>250.0</v>
      </c>
      <c r="F300" s="26">
        <v>250.0</v>
      </c>
      <c r="G300" s="26">
        <v>0.0</v>
      </c>
      <c r="H300" s="26">
        <v>0.0</v>
      </c>
      <c r="I300" s="26">
        <v>0.0</v>
      </c>
      <c r="J300" s="26">
        <v>250.0</v>
      </c>
      <c r="K300" s="26">
        <v>0.0</v>
      </c>
    </row>
    <row r="301" ht="15.75" customHeight="1">
      <c r="E301" s="28">
        <f t="shared" ref="E301:K301" si="35">SUM(E297:E300)</f>
        <v>1200</v>
      </c>
      <c r="F301" s="28">
        <f t="shared" si="35"/>
        <v>750</v>
      </c>
      <c r="G301" s="28">
        <f t="shared" si="35"/>
        <v>430</v>
      </c>
      <c r="H301" s="28">
        <f t="shared" si="35"/>
        <v>0</v>
      </c>
      <c r="I301" s="28">
        <f t="shared" si="35"/>
        <v>0</v>
      </c>
      <c r="J301" s="28">
        <f t="shared" si="35"/>
        <v>1150</v>
      </c>
      <c r="K301" s="28">
        <f t="shared" si="35"/>
        <v>50</v>
      </c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18"/>
      <c r="M304" s="24" t="s">
        <v>1208</v>
      </c>
    </row>
    <row r="305" ht="15.75" customHeight="1">
      <c r="A305" s="32">
        <v>45931.0</v>
      </c>
      <c r="B305" s="26" t="s">
        <v>855</v>
      </c>
      <c r="C305" s="26" t="s">
        <v>1209</v>
      </c>
      <c r="D305" s="26">
        <v>750.0</v>
      </c>
      <c r="E305" s="26">
        <v>750.0</v>
      </c>
      <c r="F305" s="26">
        <v>0.0</v>
      </c>
      <c r="G305" s="26">
        <v>0.0</v>
      </c>
      <c r="H305" s="26">
        <v>0.0</v>
      </c>
      <c r="I305" s="26">
        <v>0.0</v>
      </c>
      <c r="J305" s="26">
        <v>750.0</v>
      </c>
      <c r="K305" s="26">
        <v>0.0</v>
      </c>
      <c r="L305" s="19"/>
      <c r="M305" s="19"/>
      <c r="N305" s="19"/>
      <c r="O305" s="19"/>
      <c r="P305" s="19"/>
      <c r="Q305" s="19"/>
    </row>
    <row r="306" ht="15.75" customHeight="1">
      <c r="B306" s="26" t="s">
        <v>1139</v>
      </c>
      <c r="C306" s="26" t="s">
        <v>1210</v>
      </c>
      <c r="D306" s="26">
        <v>150.0</v>
      </c>
      <c r="E306" s="26">
        <v>0.0</v>
      </c>
      <c r="F306" s="26">
        <v>150.0</v>
      </c>
      <c r="G306" s="26">
        <v>0.0</v>
      </c>
      <c r="H306" s="26">
        <v>0.0</v>
      </c>
      <c r="I306" s="26">
        <v>0.0</v>
      </c>
      <c r="J306" s="26">
        <v>150.0</v>
      </c>
      <c r="K306" s="26">
        <v>0.0</v>
      </c>
      <c r="L306" s="19"/>
      <c r="M306" s="19" t="s">
        <v>717</v>
      </c>
      <c r="N306" s="19" t="s">
        <v>718</v>
      </c>
      <c r="O306" s="19" t="s">
        <v>719</v>
      </c>
      <c r="P306" s="19" t="s">
        <v>720</v>
      </c>
      <c r="Q306" s="19"/>
    </row>
    <row r="307" ht="15.75" customHeight="1">
      <c r="D307" s="28">
        <f>SUM(D305:D306)</f>
        <v>900</v>
      </c>
      <c r="E307" s="26">
        <v>750.0</v>
      </c>
      <c r="F307" s="26">
        <v>150.0</v>
      </c>
      <c r="M307" s="26">
        <v>900.0</v>
      </c>
      <c r="N307" s="26">
        <v>750.0</v>
      </c>
      <c r="O307" s="26">
        <v>150.0</v>
      </c>
      <c r="P307" s="26">
        <v>0.0</v>
      </c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M308" s="26">
        <v>1770.0</v>
      </c>
      <c r="N308" s="26">
        <v>120.0</v>
      </c>
      <c r="O308" s="26">
        <v>1650.0</v>
      </c>
      <c r="P308" s="26">
        <v>0.0</v>
      </c>
    </row>
    <row r="309" ht="15.75" customHeight="1">
      <c r="A309" s="32">
        <v>45932.0</v>
      </c>
      <c r="B309" s="26" t="s">
        <v>1211</v>
      </c>
      <c r="C309" s="26" t="s">
        <v>1212</v>
      </c>
      <c r="D309" s="26">
        <v>1200.0</v>
      </c>
      <c r="E309" s="26">
        <v>0.0</v>
      </c>
      <c r="F309" s="26">
        <v>1200.0</v>
      </c>
      <c r="G309" s="26">
        <v>0.0</v>
      </c>
      <c r="H309" s="26">
        <v>0.0</v>
      </c>
      <c r="I309" s="26">
        <v>0.0</v>
      </c>
      <c r="J309" s="26">
        <v>1200.0</v>
      </c>
      <c r="K309" s="26">
        <v>0.0</v>
      </c>
      <c r="M309" s="26">
        <v>3150.0</v>
      </c>
      <c r="N309" s="26">
        <v>1250.0</v>
      </c>
      <c r="O309" s="26">
        <v>1900.0</v>
      </c>
      <c r="P309" s="26">
        <v>0.0</v>
      </c>
    </row>
    <row r="310" ht="15.75" customHeight="1">
      <c r="B310" s="26" t="s">
        <v>1213</v>
      </c>
      <c r="C310" s="26" t="s">
        <v>1214</v>
      </c>
      <c r="D310" s="26">
        <v>120.0</v>
      </c>
      <c r="E310" s="26">
        <v>120.0</v>
      </c>
      <c r="F310" s="26">
        <v>0.0</v>
      </c>
      <c r="G310" s="26">
        <v>0.0</v>
      </c>
      <c r="H310" s="26">
        <v>0.0</v>
      </c>
      <c r="I310" s="26">
        <v>0.0</v>
      </c>
      <c r="J310" s="26">
        <v>120.0</v>
      </c>
      <c r="K310" s="26">
        <v>0.0</v>
      </c>
      <c r="M310" s="26">
        <v>1510.0</v>
      </c>
      <c r="N310" s="26">
        <v>390.0</v>
      </c>
      <c r="O310" s="26">
        <v>1120.0</v>
      </c>
      <c r="P310" s="26">
        <v>0.0</v>
      </c>
    </row>
    <row r="311" ht="15.75" customHeight="1">
      <c r="B311" s="26" t="s">
        <v>1215</v>
      </c>
      <c r="C311" s="26" t="s">
        <v>1216</v>
      </c>
      <c r="D311" s="26">
        <v>450.0</v>
      </c>
      <c r="E311" s="26">
        <v>0.0</v>
      </c>
      <c r="F311" s="26">
        <v>450.0</v>
      </c>
      <c r="G311" s="26">
        <v>0.0</v>
      </c>
      <c r="H311" s="26">
        <v>0.0</v>
      </c>
      <c r="I311" s="26">
        <v>0.0</v>
      </c>
      <c r="J311" s="26">
        <v>450.0</v>
      </c>
      <c r="K311" s="26">
        <v>0.0</v>
      </c>
      <c r="M311" s="26">
        <v>1650.0</v>
      </c>
      <c r="N311" s="26">
        <v>900.0</v>
      </c>
      <c r="O311" s="26">
        <v>750.0</v>
      </c>
      <c r="P311" s="26">
        <v>0.0</v>
      </c>
    </row>
    <row r="312" ht="15.75" customHeight="1">
      <c r="D312" s="28">
        <f t="shared" ref="D312:F312" si="36">SUM(D309:D311)</f>
        <v>1770</v>
      </c>
      <c r="E312" s="28">
        <f t="shared" si="36"/>
        <v>120</v>
      </c>
      <c r="F312" s="28">
        <f t="shared" si="36"/>
        <v>1650</v>
      </c>
      <c r="G312" s="26">
        <v>0.0</v>
      </c>
      <c r="H312" s="26">
        <v>0.0</v>
      </c>
      <c r="I312" s="26">
        <v>0.0</v>
      </c>
      <c r="J312" s="28">
        <f>SUM(J309:J311)</f>
        <v>1770</v>
      </c>
      <c r="K312" s="26">
        <v>0.0</v>
      </c>
      <c r="M312" s="26">
        <v>600.0</v>
      </c>
      <c r="N312" s="26">
        <v>600.0</v>
      </c>
      <c r="O312" s="26">
        <v>0.0</v>
      </c>
      <c r="P312" s="26">
        <v>0.0</v>
      </c>
    </row>
    <row r="313" ht="15.75" customHeight="1">
      <c r="K313" s="26" t="s">
        <v>1217</v>
      </c>
      <c r="M313" s="26">
        <v>1350.0</v>
      </c>
      <c r="N313" s="26">
        <v>400.0</v>
      </c>
      <c r="O313" s="26">
        <v>950.0</v>
      </c>
      <c r="P313" s="26">
        <v>0.0</v>
      </c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M314" s="26">
        <v>1220.0</v>
      </c>
      <c r="N314" s="26">
        <v>1050.0</v>
      </c>
      <c r="O314" s="26">
        <v>170.0</v>
      </c>
      <c r="P314" s="26">
        <v>0.0</v>
      </c>
    </row>
    <row r="315" ht="15.75" customHeight="1">
      <c r="A315" s="32">
        <v>45936.0</v>
      </c>
      <c r="B315" s="26" t="s">
        <v>1005</v>
      </c>
      <c r="C315" s="26" t="s">
        <v>1218</v>
      </c>
      <c r="D315" s="26" t="s">
        <v>147</v>
      </c>
      <c r="E315" s="26">
        <v>50.0</v>
      </c>
      <c r="F315" s="26">
        <v>50.0</v>
      </c>
      <c r="G315" s="26">
        <v>0.0</v>
      </c>
      <c r="M315" s="26">
        <v>1860.0</v>
      </c>
      <c r="N315" s="26">
        <v>900.0</v>
      </c>
      <c r="O315" s="26">
        <v>960.0</v>
      </c>
      <c r="P315" s="26">
        <v>0.0</v>
      </c>
    </row>
    <row r="316" ht="15.75" customHeight="1">
      <c r="B316" s="26" t="s">
        <v>1219</v>
      </c>
      <c r="C316" s="26" t="s">
        <v>1220</v>
      </c>
      <c r="D316" s="26" t="s">
        <v>106</v>
      </c>
      <c r="E316" s="26">
        <v>500.0</v>
      </c>
      <c r="F316" s="26">
        <v>500.0</v>
      </c>
      <c r="G316" s="26">
        <v>0.0</v>
      </c>
      <c r="M316" s="26">
        <v>500.0</v>
      </c>
      <c r="N316" s="26">
        <v>50.0</v>
      </c>
      <c r="O316" s="26">
        <v>450.0</v>
      </c>
      <c r="P316" s="26">
        <v>0.0</v>
      </c>
    </row>
    <row r="317" ht="15.75" customHeight="1">
      <c r="B317" s="26" t="s">
        <v>1148</v>
      </c>
      <c r="C317" s="26" t="s">
        <v>1221</v>
      </c>
      <c r="D317" s="26" t="s">
        <v>1222</v>
      </c>
      <c r="E317" s="26">
        <v>1900.0</v>
      </c>
      <c r="G317" s="26">
        <v>1900.0</v>
      </c>
      <c r="M317" s="26">
        <v>820.0</v>
      </c>
      <c r="N317" s="26">
        <v>670.0</v>
      </c>
      <c r="O317" s="26">
        <v>150.0</v>
      </c>
      <c r="P317" s="26">
        <v>0.0</v>
      </c>
    </row>
    <row r="318" ht="15.75" customHeight="1">
      <c r="B318" s="26" t="s">
        <v>1223</v>
      </c>
      <c r="C318" s="26" t="s">
        <v>1224</v>
      </c>
      <c r="D318" s="26" t="s">
        <v>1086</v>
      </c>
      <c r="E318" s="26">
        <v>700.0</v>
      </c>
      <c r="F318" s="26">
        <v>700.0</v>
      </c>
      <c r="G318" s="26">
        <v>0.0</v>
      </c>
      <c r="M318" s="26">
        <v>3115.0</v>
      </c>
      <c r="N318" s="26">
        <v>1580.0</v>
      </c>
      <c r="O318" s="26">
        <v>1575.0</v>
      </c>
      <c r="P318" s="26">
        <v>0.0</v>
      </c>
    </row>
    <row r="319" ht="15.75" customHeight="1">
      <c r="E319" s="28">
        <f t="shared" ref="E319:F319" si="37">SUM(E315:E318)</f>
        <v>3150</v>
      </c>
      <c r="F319" s="28">
        <f t="shared" si="37"/>
        <v>1250</v>
      </c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 ht="15.75" customHeight="1">
      <c r="A321" s="32">
        <v>45937.0</v>
      </c>
      <c r="B321" s="26" t="s">
        <v>1225</v>
      </c>
      <c r="C321" s="26" t="s">
        <v>614</v>
      </c>
      <c r="D321" s="26" t="s">
        <v>1122</v>
      </c>
      <c r="E321" s="26">
        <v>250.0</v>
      </c>
      <c r="F321" s="26">
        <v>0.0</v>
      </c>
      <c r="G321" s="26">
        <v>250.0</v>
      </c>
      <c r="H321" s="26">
        <v>0.0</v>
      </c>
      <c r="I321" s="26">
        <v>0.0</v>
      </c>
      <c r="J321" s="26">
        <v>250.0</v>
      </c>
      <c r="K321" s="26">
        <v>0.0</v>
      </c>
    </row>
    <row r="322" ht="15.75" customHeight="1">
      <c r="B322" s="26" t="s">
        <v>1226</v>
      </c>
      <c r="C322" s="26" t="s">
        <v>1227</v>
      </c>
      <c r="D322" s="26" t="s">
        <v>1177</v>
      </c>
      <c r="E322" s="26">
        <v>350.0</v>
      </c>
      <c r="F322" s="26">
        <v>0.0</v>
      </c>
      <c r="G322" s="26">
        <v>350.0</v>
      </c>
      <c r="H322" s="26">
        <v>0.0</v>
      </c>
      <c r="I322" s="26">
        <v>0.0</v>
      </c>
      <c r="J322" s="26">
        <v>350.0</v>
      </c>
      <c r="K322" s="26">
        <v>0.0</v>
      </c>
    </row>
    <row r="323" ht="15.75" customHeight="1">
      <c r="B323" s="26" t="s">
        <v>1228</v>
      </c>
      <c r="C323" s="26" t="s">
        <v>1229</v>
      </c>
      <c r="D323" s="26" t="s">
        <v>548</v>
      </c>
      <c r="E323" s="26">
        <v>390.0</v>
      </c>
      <c r="F323" s="26">
        <v>390.0</v>
      </c>
      <c r="G323" s="26">
        <v>0.0</v>
      </c>
      <c r="H323" s="26">
        <v>0.0</v>
      </c>
      <c r="I323" s="26">
        <v>0.0</v>
      </c>
      <c r="J323" s="26">
        <v>390.0</v>
      </c>
      <c r="K323" s="26">
        <v>0.0</v>
      </c>
    </row>
    <row r="324" ht="15.75" customHeight="1">
      <c r="B324" s="26" t="s">
        <v>615</v>
      </c>
      <c r="C324" s="26" t="s">
        <v>1230</v>
      </c>
      <c r="D324" s="26" t="s">
        <v>548</v>
      </c>
      <c r="E324" s="26">
        <v>420.0</v>
      </c>
      <c r="F324" s="26">
        <v>0.0</v>
      </c>
      <c r="G324" s="26">
        <v>420.0</v>
      </c>
      <c r="H324" s="26">
        <v>0.0</v>
      </c>
      <c r="I324" s="26">
        <v>0.0</v>
      </c>
      <c r="J324" s="26">
        <v>420.0</v>
      </c>
      <c r="K324" s="26">
        <v>0.0</v>
      </c>
    </row>
    <row r="325" ht="15.75" customHeight="1">
      <c r="B325" s="26" t="s">
        <v>1231</v>
      </c>
      <c r="C325" s="26" t="s">
        <v>1232</v>
      </c>
      <c r="D325" s="26" t="s">
        <v>1233</v>
      </c>
      <c r="E325" s="26">
        <v>100.0</v>
      </c>
      <c r="F325" s="26">
        <v>0.0</v>
      </c>
      <c r="G325" s="26">
        <v>100.0</v>
      </c>
      <c r="H325" s="26">
        <v>0.0</v>
      </c>
      <c r="I325" s="26">
        <v>0.0</v>
      </c>
      <c r="J325" s="26">
        <v>100.0</v>
      </c>
      <c r="K325" s="26">
        <v>0.0</v>
      </c>
    </row>
    <row r="326" ht="15.75" customHeight="1">
      <c r="E326" s="28">
        <f t="shared" ref="E326:G326" si="38">SUM(E321:E325)</f>
        <v>1510</v>
      </c>
      <c r="F326" s="28">
        <f t="shared" si="38"/>
        <v>390</v>
      </c>
      <c r="G326" s="28">
        <f t="shared" si="38"/>
        <v>1120</v>
      </c>
      <c r="H326" s="26">
        <v>0.0</v>
      </c>
      <c r="I326" s="26">
        <v>0.0</v>
      </c>
      <c r="J326" s="28">
        <f>SUM(J321:J325)</f>
        <v>1510</v>
      </c>
      <c r="K326" s="26">
        <v>0.0</v>
      </c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 ht="15.75" customHeight="1">
      <c r="A328" s="32">
        <v>45938.0</v>
      </c>
      <c r="B328" s="26" t="s">
        <v>1191</v>
      </c>
      <c r="C328" s="26" t="s">
        <v>1234</v>
      </c>
      <c r="D328" s="26" t="s">
        <v>934</v>
      </c>
      <c r="E328" s="26">
        <v>450.0</v>
      </c>
      <c r="F328" s="26">
        <v>0.0</v>
      </c>
      <c r="G328" s="26">
        <v>450.0</v>
      </c>
      <c r="H328" s="26">
        <v>0.0</v>
      </c>
      <c r="I328" s="26">
        <v>0.0</v>
      </c>
      <c r="J328" s="26">
        <v>450.0</v>
      </c>
      <c r="K328" s="26">
        <v>0.0</v>
      </c>
    </row>
    <row r="329" ht="15.75" customHeight="1">
      <c r="B329" s="26" t="s">
        <v>1005</v>
      </c>
      <c r="C329" s="26" t="s">
        <v>1235</v>
      </c>
      <c r="D329" s="26" t="s">
        <v>1236</v>
      </c>
      <c r="E329" s="26">
        <v>350.0</v>
      </c>
      <c r="F329" s="26">
        <v>350.0</v>
      </c>
      <c r="G329" s="26">
        <v>0.0</v>
      </c>
      <c r="H329" s="26">
        <v>0.0</v>
      </c>
      <c r="I329" s="26">
        <v>0.0</v>
      </c>
      <c r="J329" s="26">
        <v>350.0</v>
      </c>
      <c r="K329" s="26">
        <v>0.0</v>
      </c>
    </row>
    <row r="330" ht="15.75" customHeight="1">
      <c r="B330" s="26" t="s">
        <v>1237</v>
      </c>
      <c r="C330" s="26" t="s">
        <v>1238</v>
      </c>
      <c r="D330" s="26" t="s">
        <v>337</v>
      </c>
      <c r="E330" s="26">
        <v>250.0</v>
      </c>
      <c r="F330" s="26">
        <v>250.0</v>
      </c>
      <c r="G330" s="26">
        <v>0.0</v>
      </c>
      <c r="H330" s="26">
        <v>0.0</v>
      </c>
      <c r="I330" s="26">
        <v>0.0</v>
      </c>
      <c r="J330" s="26">
        <v>250.0</v>
      </c>
      <c r="K330" s="26">
        <v>0.0</v>
      </c>
    </row>
    <row r="331" ht="15.75" customHeight="1">
      <c r="B331" s="26" t="s">
        <v>358</v>
      </c>
      <c r="C331" s="26" t="s">
        <v>1239</v>
      </c>
      <c r="D331" s="26" t="s">
        <v>1240</v>
      </c>
      <c r="E331" s="26">
        <v>300.0</v>
      </c>
      <c r="F331" s="26">
        <v>0.0</v>
      </c>
      <c r="G331" s="26">
        <v>300.0</v>
      </c>
      <c r="H331" s="26">
        <v>0.0</v>
      </c>
      <c r="I331" s="26">
        <v>0.0</v>
      </c>
      <c r="J331" s="26">
        <v>300.0</v>
      </c>
      <c r="K331" s="26">
        <v>0.0</v>
      </c>
    </row>
    <row r="332" ht="15.75" customHeight="1">
      <c r="B332" s="26" t="s">
        <v>1241</v>
      </c>
      <c r="C332" s="26" t="s">
        <v>1242</v>
      </c>
      <c r="D332" s="26" t="s">
        <v>224</v>
      </c>
      <c r="E332" s="26">
        <v>300.0</v>
      </c>
      <c r="F332" s="26">
        <v>300.0</v>
      </c>
      <c r="G332" s="26">
        <v>0.0</v>
      </c>
      <c r="H332" s="26">
        <v>0.0</v>
      </c>
      <c r="I332" s="26">
        <v>0.0</v>
      </c>
      <c r="J332" s="26">
        <v>300.0</v>
      </c>
      <c r="K332" s="26">
        <v>0.0</v>
      </c>
    </row>
    <row r="333" ht="15.75" customHeight="1">
      <c r="E333" s="28">
        <f t="shared" ref="E333:G333" si="39">SUM(E328:E332)</f>
        <v>1650</v>
      </c>
      <c r="F333" s="28">
        <f t="shared" si="39"/>
        <v>900</v>
      </c>
      <c r="G333" s="28">
        <f t="shared" si="39"/>
        <v>750</v>
      </c>
      <c r="H333" s="26">
        <v>0.0</v>
      </c>
      <c r="I333" s="26">
        <v>0.0</v>
      </c>
      <c r="J333" s="26">
        <v>1650.0</v>
      </c>
      <c r="K333" s="26">
        <v>0.0</v>
      </c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4" t="s">
        <v>1243</v>
      </c>
    </row>
    <row r="335" ht="15.75" customHeight="1">
      <c r="A335" s="32">
        <v>45939.0</v>
      </c>
      <c r="B335" s="26" t="s">
        <v>1244</v>
      </c>
      <c r="C335" s="26" t="s">
        <v>1245</v>
      </c>
      <c r="D335" s="26" t="s">
        <v>1246</v>
      </c>
      <c r="E335" s="26">
        <v>600.0</v>
      </c>
      <c r="F335" s="26">
        <v>600.0</v>
      </c>
      <c r="G335" s="26">
        <v>0.0</v>
      </c>
      <c r="H335" s="26">
        <v>0.0</v>
      </c>
      <c r="I335" s="26">
        <v>0.0</v>
      </c>
      <c r="J335" s="26">
        <v>600.0</v>
      </c>
      <c r="K335" s="26">
        <v>0.0</v>
      </c>
    </row>
    <row r="336" ht="15.75" customHeight="1"/>
    <row r="337" ht="15.75" customHeight="1">
      <c r="K337" s="26" t="s">
        <v>1247</v>
      </c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 ht="15.75" customHeight="1">
      <c r="A339" s="45">
        <v>45944.0</v>
      </c>
      <c r="B339" s="26" t="s">
        <v>1248</v>
      </c>
      <c r="C339" s="26" t="s">
        <v>1249</v>
      </c>
      <c r="D339" s="26" t="s">
        <v>934</v>
      </c>
      <c r="E339" s="26">
        <v>450.0</v>
      </c>
      <c r="F339" s="26">
        <v>0.0</v>
      </c>
      <c r="G339" s="26">
        <v>450.0</v>
      </c>
      <c r="H339" s="26">
        <v>0.0</v>
      </c>
      <c r="I339" s="26">
        <v>0.0</v>
      </c>
      <c r="J339" s="26">
        <v>450.0</v>
      </c>
      <c r="K339" s="26">
        <v>0.0</v>
      </c>
    </row>
    <row r="340" ht="15.75" customHeight="1">
      <c r="B340" s="26" t="s">
        <v>381</v>
      </c>
      <c r="C340" s="26" t="s">
        <v>1250</v>
      </c>
      <c r="D340" s="26" t="s">
        <v>934</v>
      </c>
      <c r="E340" s="26">
        <v>400.0</v>
      </c>
      <c r="F340" s="26">
        <v>400.0</v>
      </c>
      <c r="G340" s="26">
        <v>0.0</v>
      </c>
      <c r="H340" s="26">
        <v>0.0</v>
      </c>
      <c r="I340" s="26">
        <v>0.0</v>
      </c>
      <c r="J340" s="26">
        <v>400.0</v>
      </c>
      <c r="K340" s="26">
        <v>0.0</v>
      </c>
    </row>
    <row r="341" ht="15.75" customHeight="1">
      <c r="B341" s="26" t="s">
        <v>1251</v>
      </c>
      <c r="C341" s="26" t="s">
        <v>1252</v>
      </c>
      <c r="D341" s="26" t="s">
        <v>1253</v>
      </c>
      <c r="E341" s="26">
        <v>500.0</v>
      </c>
      <c r="F341" s="26">
        <v>0.0</v>
      </c>
      <c r="G341" s="26">
        <v>500.0</v>
      </c>
      <c r="H341" s="26">
        <v>0.0</v>
      </c>
      <c r="I341" s="26">
        <v>0.0</v>
      </c>
      <c r="J341" s="26">
        <v>500.0</v>
      </c>
      <c r="K341" s="26">
        <v>0.0</v>
      </c>
    </row>
    <row r="342" ht="15.75" customHeight="1">
      <c r="E342" s="28">
        <f>SUM(E339:E341)</f>
        <v>1350</v>
      </c>
      <c r="F342" s="26">
        <v>400.0</v>
      </c>
      <c r="G342" s="28">
        <f>SUM(G339:G341)</f>
        <v>950</v>
      </c>
      <c r="J342" s="28">
        <f>SUM(J339:J341)</f>
        <v>1350</v>
      </c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4" t="s">
        <v>1254</v>
      </c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 ht="15.75" customHeight="1">
      <c r="A345" s="46">
        <v>45945.0</v>
      </c>
      <c r="B345" s="26" t="s">
        <v>1248</v>
      </c>
      <c r="C345" s="26" t="s">
        <v>1255</v>
      </c>
      <c r="D345" s="26" t="s">
        <v>1256</v>
      </c>
      <c r="E345" s="26">
        <v>920.0</v>
      </c>
      <c r="F345" s="26">
        <v>750.0</v>
      </c>
      <c r="G345" s="26">
        <v>170.0</v>
      </c>
      <c r="H345" s="26">
        <v>0.0</v>
      </c>
      <c r="I345" s="26">
        <v>0.0</v>
      </c>
      <c r="J345" s="26">
        <v>920.0</v>
      </c>
      <c r="K345" s="26">
        <v>0.0</v>
      </c>
    </row>
    <row r="346" ht="15.75" customHeight="1">
      <c r="B346" s="26" t="s">
        <v>222</v>
      </c>
      <c r="C346" s="26" t="s">
        <v>1257</v>
      </c>
      <c r="D346" s="26" t="s">
        <v>224</v>
      </c>
      <c r="E346" s="26">
        <v>300.0</v>
      </c>
      <c r="F346" s="26">
        <v>300.0</v>
      </c>
      <c r="G346" s="26">
        <v>0.0</v>
      </c>
      <c r="H346" s="26">
        <v>0.0</v>
      </c>
      <c r="I346" s="26">
        <v>0.0</v>
      </c>
      <c r="J346" s="26">
        <v>300.0</v>
      </c>
      <c r="K346" s="26">
        <v>0.0</v>
      </c>
    </row>
    <row r="347" ht="15.75" customHeight="1">
      <c r="E347" s="28">
        <f t="shared" ref="E347:G347" si="40">SUM(E345:E346)</f>
        <v>1220</v>
      </c>
      <c r="F347" s="28">
        <f t="shared" si="40"/>
        <v>1050</v>
      </c>
      <c r="G347" s="28">
        <f t="shared" si="40"/>
        <v>170</v>
      </c>
      <c r="H347" s="26">
        <v>0.0</v>
      </c>
      <c r="I347" s="26">
        <v>0.0</v>
      </c>
      <c r="J347" s="28">
        <f>SUM(J345:J346)</f>
        <v>1220</v>
      </c>
      <c r="K347" s="26">
        <v>0.0</v>
      </c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4" t="s">
        <v>1258</v>
      </c>
    </row>
    <row r="349" ht="15.75" customHeight="1">
      <c r="A349" s="46">
        <v>45946.0</v>
      </c>
      <c r="B349" s="26" t="s">
        <v>1259</v>
      </c>
      <c r="C349" s="26" t="s">
        <v>1260</v>
      </c>
      <c r="D349" s="26" t="s">
        <v>1261</v>
      </c>
      <c r="E349" s="26">
        <v>500.0</v>
      </c>
      <c r="F349" s="26">
        <v>500.0</v>
      </c>
      <c r="G349" s="26">
        <v>0.0</v>
      </c>
      <c r="H349" s="26">
        <v>0.0</v>
      </c>
      <c r="I349" s="26">
        <v>0.0</v>
      </c>
      <c r="J349" s="26">
        <v>500.0</v>
      </c>
      <c r="K349" s="26">
        <v>0.0</v>
      </c>
    </row>
    <row r="350" ht="15.75" customHeight="1">
      <c r="B350" s="26" t="s">
        <v>1172</v>
      </c>
      <c r="C350" s="26" t="s">
        <v>1262</v>
      </c>
      <c r="D350" s="26" t="s">
        <v>270</v>
      </c>
      <c r="E350" s="26">
        <v>250.0</v>
      </c>
      <c r="F350" s="26">
        <v>0.0</v>
      </c>
      <c r="G350" s="26">
        <v>250.0</v>
      </c>
      <c r="H350" s="26">
        <v>0.0</v>
      </c>
      <c r="I350" s="26">
        <v>0.0</v>
      </c>
      <c r="J350" s="26">
        <v>250.0</v>
      </c>
      <c r="K350" s="26">
        <v>0.0</v>
      </c>
    </row>
    <row r="351" ht="15.75" customHeight="1">
      <c r="B351" s="26" t="s">
        <v>1263</v>
      </c>
      <c r="C351" s="26" t="s">
        <v>1264</v>
      </c>
      <c r="D351" s="26" t="s">
        <v>391</v>
      </c>
      <c r="E351" s="26">
        <v>460.0</v>
      </c>
      <c r="F351" s="26">
        <v>0.0</v>
      </c>
      <c r="G351" s="26">
        <v>460.0</v>
      </c>
      <c r="H351" s="26">
        <v>0.0</v>
      </c>
      <c r="I351" s="26">
        <v>0.0</v>
      </c>
      <c r="J351" s="26">
        <v>460.0</v>
      </c>
      <c r="K351" s="26">
        <v>0.0</v>
      </c>
    </row>
    <row r="352" ht="15.75" customHeight="1">
      <c r="B352" s="26" t="s">
        <v>471</v>
      </c>
      <c r="C352" s="26" t="s">
        <v>1265</v>
      </c>
      <c r="D352" s="26" t="s">
        <v>934</v>
      </c>
      <c r="E352" s="26">
        <v>400.0</v>
      </c>
      <c r="F352" s="26">
        <v>400.0</v>
      </c>
      <c r="G352" s="26">
        <v>0.0</v>
      </c>
      <c r="H352" s="26">
        <v>0.0</v>
      </c>
      <c r="I352" s="26">
        <v>0.0</v>
      </c>
      <c r="J352" s="26">
        <v>400.0</v>
      </c>
      <c r="K352" s="26">
        <v>0.0</v>
      </c>
    </row>
    <row r="353" ht="15.75" customHeight="1">
      <c r="B353" s="26" t="s">
        <v>1120</v>
      </c>
      <c r="C353" s="26" t="s">
        <v>1266</v>
      </c>
      <c r="D353" s="26" t="s">
        <v>270</v>
      </c>
      <c r="E353" s="26">
        <v>250.0</v>
      </c>
      <c r="F353" s="26">
        <v>0.0</v>
      </c>
      <c r="G353" s="26">
        <v>250.0</v>
      </c>
      <c r="H353" s="26">
        <v>0.0</v>
      </c>
      <c r="I353" s="26">
        <v>0.0</v>
      </c>
      <c r="J353" s="26">
        <v>250.0</v>
      </c>
      <c r="K353" s="26">
        <v>0.0</v>
      </c>
    </row>
    <row r="354" ht="15.75" customHeight="1">
      <c r="E354" s="28">
        <f t="shared" ref="E354:G354" si="41">SUM(E349:E353)</f>
        <v>1860</v>
      </c>
      <c r="F354" s="28">
        <f t="shared" si="41"/>
        <v>900</v>
      </c>
      <c r="G354" s="28">
        <f t="shared" si="41"/>
        <v>960</v>
      </c>
      <c r="H354" s="26">
        <v>0.0</v>
      </c>
      <c r="I354" s="26">
        <v>0.0</v>
      </c>
      <c r="J354" s="26">
        <v>0.0</v>
      </c>
      <c r="K354" s="26">
        <v>0.0</v>
      </c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4" t="s">
        <v>1267</v>
      </c>
    </row>
    <row r="356" ht="15.75" customHeight="1">
      <c r="A356" s="46">
        <v>45950.0</v>
      </c>
      <c r="B356" s="26" t="s">
        <v>759</v>
      </c>
      <c r="C356" s="26" t="s">
        <v>1268</v>
      </c>
      <c r="D356" s="26">
        <v>200.0</v>
      </c>
      <c r="E356" s="26">
        <v>0.0</v>
      </c>
      <c r="F356" s="26">
        <v>200.0</v>
      </c>
      <c r="G356" s="26">
        <v>0.0</v>
      </c>
      <c r="H356" s="26">
        <v>0.0</v>
      </c>
      <c r="I356" s="26">
        <v>0.0</v>
      </c>
      <c r="J356" s="26">
        <v>200.0</v>
      </c>
      <c r="K356" s="26">
        <v>0.0</v>
      </c>
    </row>
    <row r="357" ht="15.75" customHeight="1">
      <c r="B357" s="26"/>
      <c r="C357" s="26" t="s">
        <v>890</v>
      </c>
      <c r="D357" s="26">
        <v>250.0</v>
      </c>
      <c r="E357" s="26">
        <v>0.0</v>
      </c>
      <c r="F357" s="26">
        <v>250.0</v>
      </c>
      <c r="G357" s="26">
        <v>0.0</v>
      </c>
      <c r="H357" s="26">
        <v>0.0</v>
      </c>
      <c r="I357" s="26">
        <v>0.0</v>
      </c>
      <c r="J357" s="26">
        <v>250.0</v>
      </c>
      <c r="K357" s="26">
        <v>0.0</v>
      </c>
    </row>
    <row r="358" ht="15.75" customHeight="1">
      <c r="B358" s="26" t="s">
        <v>1005</v>
      </c>
      <c r="C358" s="26" t="s">
        <v>1269</v>
      </c>
      <c r="D358" s="26">
        <v>50.0</v>
      </c>
      <c r="E358" s="26">
        <v>50.0</v>
      </c>
      <c r="F358" s="26">
        <v>0.0</v>
      </c>
      <c r="G358" s="26">
        <v>0.0</v>
      </c>
      <c r="H358" s="26">
        <v>0.0</v>
      </c>
      <c r="I358" s="26">
        <v>0.0</v>
      </c>
      <c r="J358" s="26">
        <v>50.0</v>
      </c>
      <c r="K358" s="26">
        <v>0.0</v>
      </c>
    </row>
    <row r="359" ht="15.75" customHeight="1">
      <c r="D359" s="28">
        <f t="shared" ref="D359:G359" si="42">SUM(D356:D358)</f>
        <v>500</v>
      </c>
      <c r="E359" s="28">
        <f t="shared" si="42"/>
        <v>50</v>
      </c>
      <c r="F359" s="28">
        <f t="shared" si="42"/>
        <v>450</v>
      </c>
      <c r="G359" s="28">
        <f t="shared" si="42"/>
        <v>0</v>
      </c>
      <c r="H359" s="26">
        <v>0.0</v>
      </c>
      <c r="I359" s="26">
        <v>0.0</v>
      </c>
      <c r="J359" s="26">
        <v>0.0</v>
      </c>
      <c r="K359" s="26">
        <v>0.0</v>
      </c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 ht="15.75" customHeight="1">
      <c r="A361" s="46">
        <v>45951.0</v>
      </c>
      <c r="B361" s="26" t="s">
        <v>213</v>
      </c>
      <c r="C361" s="26" t="s">
        <v>1270</v>
      </c>
      <c r="D361" s="26">
        <v>300.0</v>
      </c>
      <c r="E361" s="26">
        <v>300.0</v>
      </c>
      <c r="F361" s="26">
        <v>0.0</v>
      </c>
      <c r="G361" s="26">
        <v>0.0</v>
      </c>
      <c r="H361" s="26">
        <v>0.0</v>
      </c>
      <c r="I361" s="26">
        <v>0.0</v>
      </c>
      <c r="J361" s="26">
        <v>300.0</v>
      </c>
      <c r="K361" s="26">
        <v>0.0</v>
      </c>
    </row>
    <row r="362" ht="15.75" customHeight="1">
      <c r="B362" s="26" t="s">
        <v>961</v>
      </c>
      <c r="C362" s="26" t="s">
        <v>1271</v>
      </c>
      <c r="D362" s="26">
        <v>370.0</v>
      </c>
      <c r="E362" s="26">
        <v>370.0</v>
      </c>
      <c r="F362" s="26">
        <v>0.0</v>
      </c>
      <c r="G362" s="26">
        <v>0.0</v>
      </c>
      <c r="H362" s="26">
        <v>0.0</v>
      </c>
      <c r="I362" s="26">
        <v>0.0</v>
      </c>
      <c r="J362" s="26">
        <v>370.0</v>
      </c>
      <c r="K362" s="26">
        <v>0.0</v>
      </c>
    </row>
    <row r="363" ht="15.75" customHeight="1">
      <c r="B363" s="26" t="s">
        <v>1215</v>
      </c>
      <c r="C363" s="26" t="s">
        <v>1272</v>
      </c>
      <c r="D363" s="26">
        <v>150.0</v>
      </c>
      <c r="E363" s="26">
        <v>0.0</v>
      </c>
      <c r="F363" s="26">
        <v>150.0</v>
      </c>
      <c r="G363" s="26">
        <v>0.0</v>
      </c>
      <c r="H363" s="26">
        <v>0.0</v>
      </c>
      <c r="I363" s="26">
        <v>0.0</v>
      </c>
      <c r="J363" s="26">
        <v>150.0</v>
      </c>
      <c r="K363" s="26">
        <v>0.0</v>
      </c>
    </row>
    <row r="364" ht="15.75" customHeight="1">
      <c r="D364" s="28">
        <f t="shared" ref="D364:F364" si="43">SUM(D361:D363)</f>
        <v>820</v>
      </c>
      <c r="E364" s="28">
        <f t="shared" si="43"/>
        <v>670</v>
      </c>
      <c r="F364" s="28">
        <f t="shared" si="43"/>
        <v>150</v>
      </c>
      <c r="G364" s="26">
        <v>0.0</v>
      </c>
      <c r="H364" s="26">
        <v>0.0</v>
      </c>
      <c r="I364" s="26">
        <v>0.0</v>
      </c>
      <c r="J364" s="28">
        <f>SUM(J361:J363)</f>
        <v>820</v>
      </c>
      <c r="K364" s="26">
        <v>0.0</v>
      </c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 ht="15.75" customHeight="1">
      <c r="A366" s="46">
        <v>45952.0</v>
      </c>
      <c r="B366" s="26" t="s">
        <v>294</v>
      </c>
      <c r="C366" s="26" t="s">
        <v>1273</v>
      </c>
      <c r="D366" s="26" t="s">
        <v>1274</v>
      </c>
      <c r="E366" s="26">
        <v>200.0</v>
      </c>
      <c r="F366" s="26">
        <v>200.0</v>
      </c>
      <c r="G366" s="26">
        <v>0.0</v>
      </c>
      <c r="H366" s="26">
        <v>0.0</v>
      </c>
      <c r="I366" s="26">
        <v>0.0</v>
      </c>
      <c r="J366" s="26">
        <v>200.0</v>
      </c>
      <c r="K366" s="26">
        <v>0.0</v>
      </c>
    </row>
    <row r="367" ht="15.75" customHeight="1">
      <c r="B367" s="26" t="s">
        <v>1275</v>
      </c>
      <c r="C367" s="26" t="s">
        <v>1276</v>
      </c>
      <c r="D367" s="26" t="s">
        <v>1277</v>
      </c>
      <c r="E367" s="26">
        <v>100.0</v>
      </c>
      <c r="F367" s="26">
        <v>0.0</v>
      </c>
      <c r="G367" s="26">
        <v>100.0</v>
      </c>
      <c r="H367" s="26">
        <v>0.0</v>
      </c>
      <c r="I367" s="26">
        <v>0.0</v>
      </c>
      <c r="J367" s="26">
        <v>100.0</v>
      </c>
      <c r="K367" s="26">
        <v>0.0</v>
      </c>
    </row>
    <row r="368" ht="15.75" customHeight="1">
      <c r="B368" s="26" t="s">
        <v>1278</v>
      </c>
      <c r="C368" s="26" t="s">
        <v>1279</v>
      </c>
      <c r="D368" s="26" t="s">
        <v>1134</v>
      </c>
      <c r="E368" s="26">
        <v>150.0</v>
      </c>
      <c r="F368" s="26">
        <v>0.0</v>
      </c>
      <c r="G368" s="26">
        <v>150.0</v>
      </c>
      <c r="H368" s="26">
        <v>0.0</v>
      </c>
      <c r="I368" s="26">
        <v>0.0</v>
      </c>
      <c r="J368" s="26">
        <v>150.0</v>
      </c>
      <c r="K368" s="26">
        <v>0.0</v>
      </c>
    </row>
    <row r="369" ht="15.75" customHeight="1">
      <c r="E369" s="28">
        <f t="shared" ref="E369:H369" si="44">SUM(E366:E368)</f>
        <v>450</v>
      </c>
      <c r="F369" s="28">
        <f t="shared" si="44"/>
        <v>200</v>
      </c>
      <c r="G369" s="28">
        <f t="shared" si="44"/>
        <v>250</v>
      </c>
      <c r="H369" s="28">
        <f t="shared" si="44"/>
        <v>0</v>
      </c>
      <c r="I369" s="26">
        <v>0.0</v>
      </c>
      <c r="J369" s="28">
        <f>SUM(J366:J368)</f>
        <v>450</v>
      </c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 ht="15.75" customHeight="1">
      <c r="A371" s="46">
        <v>45953.0</v>
      </c>
      <c r="B371" s="26" t="s">
        <v>1280</v>
      </c>
      <c r="C371" s="26" t="s">
        <v>827</v>
      </c>
      <c r="D371" s="26" t="s">
        <v>51</v>
      </c>
      <c r="E371" s="26">
        <v>300.0</v>
      </c>
      <c r="F371" s="26">
        <v>300.0</v>
      </c>
      <c r="G371" s="26">
        <v>0.0</v>
      </c>
      <c r="H371" s="26">
        <v>0.0</v>
      </c>
      <c r="I371" s="26">
        <v>0.0</v>
      </c>
      <c r="J371" s="26">
        <v>300.0</v>
      </c>
      <c r="K371" s="26">
        <v>0.0</v>
      </c>
    </row>
    <row r="372" ht="15.75" customHeight="1">
      <c r="B372" s="26" t="s">
        <v>1111</v>
      </c>
      <c r="C372" s="26" t="s">
        <v>1281</v>
      </c>
      <c r="D372" s="26" t="s">
        <v>1282</v>
      </c>
      <c r="E372" s="26">
        <v>300.0</v>
      </c>
      <c r="F372" s="26">
        <v>300.0</v>
      </c>
      <c r="G372" s="26">
        <v>0.0</v>
      </c>
      <c r="H372" s="26">
        <v>0.0</v>
      </c>
      <c r="I372" s="26">
        <v>0.0</v>
      </c>
      <c r="J372" s="26">
        <v>300.0</v>
      </c>
      <c r="K372" s="26">
        <v>0.0</v>
      </c>
    </row>
    <row r="373" ht="15.75" customHeight="1">
      <c r="B373" s="26" t="s">
        <v>317</v>
      </c>
      <c r="C373" s="26" t="s">
        <v>1283</v>
      </c>
      <c r="D373" s="26" t="s">
        <v>291</v>
      </c>
      <c r="E373" s="26">
        <v>100.0</v>
      </c>
      <c r="F373" s="26">
        <v>100.0</v>
      </c>
      <c r="G373" s="26">
        <v>0.0</v>
      </c>
      <c r="H373" s="26">
        <v>0.0</v>
      </c>
      <c r="I373" s="26">
        <v>0.0</v>
      </c>
      <c r="J373" s="26">
        <v>100.0</v>
      </c>
      <c r="K373" s="26">
        <v>0.0</v>
      </c>
    </row>
    <row r="374" ht="15.75" customHeight="1">
      <c r="B374" s="26" t="s">
        <v>1284</v>
      </c>
      <c r="C374" s="26" t="s">
        <v>1285</v>
      </c>
      <c r="D374" s="26" t="s">
        <v>337</v>
      </c>
      <c r="E374" s="26">
        <v>250.0</v>
      </c>
      <c r="F374" s="26">
        <v>0.0</v>
      </c>
      <c r="G374" s="26">
        <v>250.0</v>
      </c>
      <c r="H374" s="26">
        <v>0.0</v>
      </c>
      <c r="I374" s="26">
        <v>0.0</v>
      </c>
      <c r="J374" s="26">
        <v>250.0</v>
      </c>
      <c r="K374" s="26">
        <v>0.0</v>
      </c>
    </row>
    <row r="375" ht="15.75" customHeight="1">
      <c r="B375" s="26" t="s">
        <v>615</v>
      </c>
      <c r="C375" s="26" t="s">
        <v>903</v>
      </c>
      <c r="D375" s="26" t="s">
        <v>1056</v>
      </c>
      <c r="E375" s="26">
        <v>350.0</v>
      </c>
      <c r="F375" s="26">
        <v>350.0</v>
      </c>
      <c r="G375" s="26">
        <v>0.0</v>
      </c>
      <c r="H375" s="26">
        <v>0.0</v>
      </c>
      <c r="I375" s="26">
        <v>0.0</v>
      </c>
      <c r="J375" s="26">
        <v>350.0</v>
      </c>
      <c r="K375" s="26">
        <v>0.0</v>
      </c>
    </row>
    <row r="376" ht="15.75" customHeight="1">
      <c r="B376" s="26" t="s">
        <v>1286</v>
      </c>
      <c r="C376" s="26" t="s">
        <v>1287</v>
      </c>
      <c r="D376" s="26" t="s">
        <v>1288</v>
      </c>
      <c r="E376" s="26">
        <v>90.0</v>
      </c>
      <c r="F376" s="26">
        <v>90.0</v>
      </c>
      <c r="G376" s="26">
        <v>0.0</v>
      </c>
      <c r="H376" s="26">
        <v>0.0</v>
      </c>
      <c r="I376" s="26">
        <v>0.0</v>
      </c>
      <c r="J376" s="26">
        <v>0.0</v>
      </c>
      <c r="K376" s="26">
        <v>90.0</v>
      </c>
    </row>
    <row r="377" ht="15.75" customHeight="1">
      <c r="C377" s="26" t="s">
        <v>1289</v>
      </c>
      <c r="D377" s="26" t="s">
        <v>87</v>
      </c>
      <c r="E377" s="28">
        <f t="shared" ref="E377:G377" si="45">SUM(E371:E376)</f>
        <v>1390</v>
      </c>
      <c r="F377" s="28">
        <f t="shared" si="45"/>
        <v>1140</v>
      </c>
      <c r="G377" s="28">
        <f t="shared" si="45"/>
        <v>250</v>
      </c>
      <c r="H377" s="26">
        <v>0.0</v>
      </c>
      <c r="I377" s="26">
        <v>0.0</v>
      </c>
      <c r="J377" s="26">
        <v>0.0</v>
      </c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4" t="s">
        <v>1290</v>
      </c>
    </row>
    <row r="379" ht="15.75" customHeight="1">
      <c r="A379" s="46">
        <v>45957.0</v>
      </c>
      <c r="B379" s="26" t="s">
        <v>1291</v>
      </c>
      <c r="C379" s="26" t="s">
        <v>1292</v>
      </c>
      <c r="D379" s="26" t="s">
        <v>1293</v>
      </c>
      <c r="E379" s="26">
        <v>400.0</v>
      </c>
      <c r="F379" s="26">
        <v>400.0</v>
      </c>
      <c r="G379" s="26">
        <v>0.0</v>
      </c>
      <c r="H379" s="26">
        <v>0.0</v>
      </c>
      <c r="I379" s="26">
        <v>0.0</v>
      </c>
      <c r="J379" s="26">
        <v>400.0</v>
      </c>
      <c r="K379" s="26">
        <v>0.0</v>
      </c>
    </row>
    <row r="380" ht="15.75" customHeight="1">
      <c r="B380" s="26" t="s">
        <v>1294</v>
      </c>
      <c r="C380" s="26" t="s">
        <v>1295</v>
      </c>
      <c r="D380" s="26" t="s">
        <v>1296</v>
      </c>
      <c r="E380" s="26">
        <v>50.0</v>
      </c>
      <c r="F380" s="26">
        <v>50.0</v>
      </c>
      <c r="G380" s="26">
        <v>0.0</v>
      </c>
      <c r="H380" s="26">
        <v>0.0</v>
      </c>
      <c r="I380" s="26">
        <v>0.0</v>
      </c>
      <c r="J380" s="26">
        <v>50.0</v>
      </c>
      <c r="K380" s="26">
        <v>0.0</v>
      </c>
    </row>
    <row r="381" ht="15.75" customHeight="1">
      <c r="B381" s="26" t="s">
        <v>1297</v>
      </c>
      <c r="C381" s="26" t="s">
        <v>1298</v>
      </c>
      <c r="D381" s="26" t="s">
        <v>65</v>
      </c>
      <c r="E381" s="26">
        <v>600.0</v>
      </c>
      <c r="F381" s="26">
        <v>0.0</v>
      </c>
      <c r="G381" s="26">
        <v>0.0</v>
      </c>
      <c r="H381" s="26">
        <v>600.0</v>
      </c>
      <c r="I381" s="26">
        <v>0.0</v>
      </c>
      <c r="J381" s="26">
        <v>600.0</v>
      </c>
      <c r="K381" s="26">
        <v>0.0</v>
      </c>
    </row>
    <row r="382" ht="15.75" customHeight="1">
      <c r="B382" s="44"/>
      <c r="E382" s="26">
        <f t="shared" ref="E382:F382" si="46">SUM(E379:E381)</f>
        <v>1050</v>
      </c>
      <c r="F382" s="26">
        <f t="shared" si="46"/>
        <v>450</v>
      </c>
      <c r="G382" s="26">
        <v>0.0</v>
      </c>
      <c r="H382" s="26">
        <f>SUM(H379:H381)</f>
        <v>600</v>
      </c>
      <c r="I382" s="26">
        <v>0.0</v>
      </c>
      <c r="J382" s="26">
        <v>450.0</v>
      </c>
      <c r="K382" s="26">
        <v>0.0</v>
      </c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 ht="15.75" customHeight="1">
      <c r="A385" s="46">
        <v>45958.0</v>
      </c>
      <c r="B385" s="26" t="s">
        <v>649</v>
      </c>
      <c r="C385" s="26" t="s">
        <v>663</v>
      </c>
      <c r="D385" s="26" t="s">
        <v>51</v>
      </c>
      <c r="E385" s="26">
        <v>300.0</v>
      </c>
      <c r="F385" s="26">
        <v>300.0</v>
      </c>
      <c r="G385" s="26">
        <v>0.0</v>
      </c>
      <c r="H385" s="26">
        <v>0.0</v>
      </c>
      <c r="I385" s="26">
        <v>0.0</v>
      </c>
      <c r="J385" s="26">
        <v>300.0</v>
      </c>
      <c r="K385" s="26">
        <v>0.0</v>
      </c>
    </row>
    <row r="386" ht="15.75" customHeight="1">
      <c r="B386" s="26" t="s">
        <v>1299</v>
      </c>
      <c r="C386" s="26" t="s">
        <v>1300</v>
      </c>
      <c r="D386" s="26" t="s">
        <v>1301</v>
      </c>
      <c r="E386" s="26">
        <v>570.0</v>
      </c>
      <c r="F386" s="26">
        <v>570.0</v>
      </c>
      <c r="G386" s="26">
        <v>0.0</v>
      </c>
      <c r="H386" s="26">
        <v>0.0</v>
      </c>
      <c r="I386" s="26">
        <v>0.0</v>
      </c>
      <c r="J386" s="26">
        <v>720.0</v>
      </c>
      <c r="K386" s="26">
        <v>0.0</v>
      </c>
    </row>
    <row r="387" ht="15.75" customHeight="1">
      <c r="E387" s="28">
        <f t="shared" ref="E387:F387" si="47">SUM(E385:E386)</f>
        <v>870</v>
      </c>
      <c r="F387" s="28">
        <f t="shared" si="47"/>
        <v>870</v>
      </c>
      <c r="G387" s="26">
        <v>0.0</v>
      </c>
      <c r="H387" s="26">
        <v>0.0</v>
      </c>
      <c r="I387" s="26">
        <v>0.0</v>
      </c>
      <c r="J387" s="28">
        <f>SUM(J385:J386)</f>
        <v>1020</v>
      </c>
      <c r="K387" s="26">
        <v>0.0</v>
      </c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 ht="15.75" customHeight="1">
      <c r="A389" s="46">
        <v>45959.0</v>
      </c>
      <c r="B389" s="26" t="s">
        <v>821</v>
      </c>
      <c r="C389" s="26" t="s">
        <v>1302</v>
      </c>
      <c r="D389" s="26" t="s">
        <v>106</v>
      </c>
      <c r="E389" s="26">
        <v>500.0</v>
      </c>
      <c r="F389" s="26">
        <v>500.0</v>
      </c>
      <c r="G389" s="26">
        <v>0.0</v>
      </c>
      <c r="H389" s="26">
        <v>0.0</v>
      </c>
      <c r="I389" s="26">
        <v>0.0</v>
      </c>
      <c r="J389" s="26">
        <v>500.0</v>
      </c>
      <c r="K389" s="26">
        <v>0.0</v>
      </c>
    </row>
    <row r="390" ht="15.75" customHeight="1">
      <c r="B390" s="26" t="s">
        <v>774</v>
      </c>
      <c r="C390" s="26" t="s">
        <v>402</v>
      </c>
      <c r="D390" s="26" t="s">
        <v>224</v>
      </c>
      <c r="E390" s="26">
        <v>300.0</v>
      </c>
      <c r="F390" s="26">
        <v>0.0</v>
      </c>
      <c r="G390" s="26">
        <v>300.0</v>
      </c>
      <c r="H390" s="26">
        <v>0.0</v>
      </c>
      <c r="I390" s="26">
        <v>0.0</v>
      </c>
      <c r="J390" s="26">
        <v>300.0</v>
      </c>
      <c r="K390" s="26">
        <v>0.0</v>
      </c>
    </row>
    <row r="391" ht="15.75" customHeight="1">
      <c r="B391" s="26" t="s">
        <v>1303</v>
      </c>
      <c r="C391" s="26" t="s">
        <v>182</v>
      </c>
      <c r="D391" s="26" t="s">
        <v>51</v>
      </c>
      <c r="E391" s="26">
        <v>300.0</v>
      </c>
      <c r="F391" s="26">
        <v>300.0</v>
      </c>
      <c r="G391" s="26">
        <v>0.0</v>
      </c>
      <c r="H391" s="26">
        <v>0.0</v>
      </c>
      <c r="I391" s="26">
        <v>0.0</v>
      </c>
      <c r="J391" s="26">
        <v>300.0</v>
      </c>
      <c r="K391" s="26">
        <v>0.0</v>
      </c>
    </row>
    <row r="392" ht="15.75" customHeight="1">
      <c r="B392" s="26" t="s">
        <v>1170</v>
      </c>
      <c r="C392" s="26" t="s">
        <v>1304</v>
      </c>
      <c r="D392" s="26" t="s">
        <v>248</v>
      </c>
      <c r="E392" s="26">
        <v>150.0</v>
      </c>
      <c r="F392" s="26">
        <v>0.0</v>
      </c>
      <c r="G392" s="26">
        <v>150.0</v>
      </c>
      <c r="H392" s="26">
        <v>0.0</v>
      </c>
      <c r="I392" s="26">
        <v>0.0</v>
      </c>
      <c r="J392" s="26">
        <v>150.0</v>
      </c>
      <c r="K392" s="26">
        <v>0.0</v>
      </c>
    </row>
    <row r="393" ht="15.75" customHeight="1">
      <c r="B393" s="26" t="s">
        <v>940</v>
      </c>
      <c r="C393" s="26" t="s">
        <v>1305</v>
      </c>
      <c r="D393" s="26" t="s">
        <v>1306</v>
      </c>
      <c r="E393" s="26">
        <v>375.0</v>
      </c>
      <c r="F393" s="26">
        <v>0.0</v>
      </c>
      <c r="G393" s="26">
        <v>375.0</v>
      </c>
      <c r="H393" s="26">
        <v>0.0</v>
      </c>
      <c r="I393" s="26">
        <v>0.0</v>
      </c>
      <c r="J393" s="26">
        <v>375.0</v>
      </c>
      <c r="K393" s="26">
        <v>0.0</v>
      </c>
    </row>
    <row r="394" ht="15.75" customHeight="1">
      <c r="B394" s="26" t="s">
        <v>695</v>
      </c>
      <c r="C394" s="26" t="s">
        <v>663</v>
      </c>
      <c r="D394" s="26" t="s">
        <v>51</v>
      </c>
      <c r="E394" s="26">
        <v>300.0</v>
      </c>
      <c r="F394" s="26">
        <v>100.0</v>
      </c>
      <c r="G394" s="26">
        <v>200.0</v>
      </c>
      <c r="H394" s="26">
        <v>0.0</v>
      </c>
      <c r="I394" s="26">
        <v>0.0</v>
      </c>
      <c r="J394" s="26">
        <v>300.0</v>
      </c>
      <c r="K394" s="26">
        <v>0.0</v>
      </c>
    </row>
    <row r="395" ht="15.75" customHeight="1">
      <c r="B395" s="26" t="s">
        <v>1307</v>
      </c>
      <c r="C395" s="26" t="s">
        <v>1308</v>
      </c>
      <c r="D395" s="26" t="s">
        <v>1309</v>
      </c>
      <c r="E395" s="26">
        <v>1050.0</v>
      </c>
      <c r="F395" s="26">
        <v>500.0</v>
      </c>
      <c r="G395" s="26">
        <v>550.0</v>
      </c>
      <c r="H395" s="26">
        <v>0.0</v>
      </c>
      <c r="I395" s="26">
        <v>0.0</v>
      </c>
      <c r="J395" s="26">
        <v>550.0</v>
      </c>
      <c r="K395" s="26">
        <v>0.0</v>
      </c>
    </row>
    <row r="396" ht="15.75" customHeight="1">
      <c r="B396" s="26" t="s">
        <v>233</v>
      </c>
      <c r="C396" s="26" t="s">
        <v>1310</v>
      </c>
      <c r="D396" s="26" t="s">
        <v>1311</v>
      </c>
      <c r="E396" s="26">
        <v>180.0</v>
      </c>
      <c r="F396" s="26">
        <v>180.0</v>
      </c>
      <c r="G396" s="26">
        <v>0.0</v>
      </c>
      <c r="H396" s="26">
        <v>0.0</v>
      </c>
      <c r="I396" s="26">
        <v>0.0</v>
      </c>
      <c r="J396" s="26">
        <v>180.0</v>
      </c>
      <c r="K396" s="26">
        <v>0.0</v>
      </c>
    </row>
    <row r="397" ht="15.75" customHeight="1">
      <c r="E397" s="28">
        <f t="shared" ref="E397:G397" si="48">SUM(E389:E396)</f>
        <v>3155</v>
      </c>
      <c r="F397" s="28">
        <f t="shared" si="48"/>
        <v>1580</v>
      </c>
      <c r="G397" s="28">
        <f t="shared" si="48"/>
        <v>1575</v>
      </c>
      <c r="H397" s="26">
        <v>0.0</v>
      </c>
      <c r="I397" s="26">
        <v>0.0</v>
      </c>
      <c r="J397" s="28">
        <f>SUM(J389:J396)</f>
        <v>2655</v>
      </c>
      <c r="K397" s="26">
        <v>0.0</v>
      </c>
    </row>
    <row r="398" ht="15.75" customHeight="1">
      <c r="K398" s="26" t="s">
        <v>1312</v>
      </c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</row>
    <row r="402" ht="15.75" customHeight="1">
      <c r="A402" s="32">
        <v>45964.0</v>
      </c>
      <c r="B402" s="26" t="s">
        <v>1313</v>
      </c>
      <c r="C402" s="26" t="s">
        <v>1314</v>
      </c>
      <c r="D402" s="26" t="s">
        <v>755</v>
      </c>
      <c r="E402" s="26">
        <v>250.0</v>
      </c>
      <c r="F402" s="26">
        <v>0.0</v>
      </c>
      <c r="G402" s="26">
        <v>250.0</v>
      </c>
      <c r="H402" s="26">
        <v>0.0</v>
      </c>
      <c r="I402" s="26">
        <v>0.0</v>
      </c>
      <c r="J402" s="26">
        <v>250.0</v>
      </c>
      <c r="K402" s="26">
        <v>0.0</v>
      </c>
    </row>
    <row r="403" ht="15.75" customHeight="1">
      <c r="B403" s="26" t="s">
        <v>1315</v>
      </c>
      <c r="C403" s="26" t="s">
        <v>1316</v>
      </c>
      <c r="D403" s="26" t="s">
        <v>51</v>
      </c>
      <c r="E403" s="26">
        <v>300.0</v>
      </c>
      <c r="F403" s="26">
        <v>300.0</v>
      </c>
      <c r="G403" s="26">
        <v>0.0</v>
      </c>
      <c r="H403" s="26">
        <v>0.0</v>
      </c>
      <c r="I403" s="26">
        <v>0.0</v>
      </c>
      <c r="J403" s="26">
        <v>300.0</v>
      </c>
      <c r="K403" s="26">
        <v>0.0</v>
      </c>
    </row>
    <row r="404" ht="15.75" customHeight="1">
      <c r="E404" s="28">
        <f t="shared" ref="E404:G404" si="49">SUM(E402:E403)</f>
        <v>550</v>
      </c>
      <c r="F404" s="28">
        <f t="shared" si="49"/>
        <v>300</v>
      </c>
      <c r="G404" s="28">
        <f t="shared" si="49"/>
        <v>250</v>
      </c>
      <c r="H404" s="26">
        <v>0.0</v>
      </c>
      <c r="I404" s="26">
        <v>0.0</v>
      </c>
      <c r="J404" s="28">
        <f>SUM(J402:J403)</f>
        <v>550</v>
      </c>
      <c r="K404" s="26">
        <v>0.0</v>
      </c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 ht="15.75" customHeight="1">
      <c r="A406" s="32">
        <v>45965.0</v>
      </c>
      <c r="B406" s="26" t="s">
        <v>961</v>
      </c>
      <c r="C406" s="26" t="s">
        <v>1317</v>
      </c>
      <c r="D406" s="26" t="s">
        <v>147</v>
      </c>
      <c r="E406" s="26">
        <v>50.0</v>
      </c>
      <c r="F406" s="26">
        <v>50.0</v>
      </c>
      <c r="G406" s="26">
        <v>0.0</v>
      </c>
      <c r="H406" s="26">
        <v>0.0</v>
      </c>
      <c r="I406" s="26">
        <v>0.0</v>
      </c>
      <c r="J406" s="26">
        <v>50.0</v>
      </c>
      <c r="K406" s="26">
        <v>0.0</v>
      </c>
    </row>
    <row r="407" ht="15.75" customHeight="1">
      <c r="B407" s="26" t="s">
        <v>213</v>
      </c>
      <c r="C407" s="26" t="s">
        <v>1318</v>
      </c>
      <c r="D407" s="26" t="s">
        <v>934</v>
      </c>
      <c r="E407" s="26">
        <v>450.0</v>
      </c>
      <c r="F407" s="26">
        <v>450.0</v>
      </c>
      <c r="G407" s="26">
        <v>0.0</v>
      </c>
      <c r="H407" s="26">
        <v>0.0</v>
      </c>
      <c r="I407" s="26">
        <v>0.0</v>
      </c>
      <c r="J407" s="26">
        <v>450.0</v>
      </c>
      <c r="K407" s="26">
        <v>0.0</v>
      </c>
    </row>
    <row r="408" ht="15.75" customHeight="1">
      <c r="B408" s="26" t="s">
        <v>1319</v>
      </c>
      <c r="C408" s="26" t="s">
        <v>1320</v>
      </c>
      <c r="D408" s="26" t="s">
        <v>1296</v>
      </c>
      <c r="E408" s="26">
        <v>50.0</v>
      </c>
      <c r="F408" s="26">
        <v>0.0</v>
      </c>
      <c r="G408" s="26">
        <v>50.0</v>
      </c>
      <c r="H408" s="26">
        <v>0.0</v>
      </c>
      <c r="I408" s="26">
        <v>0.0</v>
      </c>
      <c r="J408" s="26">
        <v>50.0</v>
      </c>
      <c r="K408" s="26">
        <v>0.0</v>
      </c>
    </row>
    <row r="409" ht="15.75" customHeight="1">
      <c r="B409" s="26" t="s">
        <v>1228</v>
      </c>
      <c r="C409" s="26" t="s">
        <v>1321</v>
      </c>
      <c r="D409" s="26" t="s">
        <v>1322</v>
      </c>
      <c r="E409" s="26">
        <v>300.0</v>
      </c>
      <c r="F409" s="26">
        <v>300.0</v>
      </c>
      <c r="G409" s="26">
        <v>0.0</v>
      </c>
      <c r="H409" s="26">
        <v>0.0</v>
      </c>
      <c r="I409" s="26">
        <v>0.0</v>
      </c>
      <c r="J409" s="26">
        <v>300.0</v>
      </c>
      <c r="K409" s="26">
        <v>0.0</v>
      </c>
    </row>
    <row r="410" ht="15.75" customHeight="1">
      <c r="E410" s="28">
        <f t="shared" ref="E410:H410" si="50">SUM(E406:E409)</f>
        <v>850</v>
      </c>
      <c r="F410" s="28">
        <f t="shared" si="50"/>
        <v>800</v>
      </c>
      <c r="G410" s="28">
        <f t="shared" si="50"/>
        <v>50</v>
      </c>
      <c r="H410" s="28">
        <f t="shared" si="50"/>
        <v>0</v>
      </c>
      <c r="I410" s="26">
        <v>0.0</v>
      </c>
      <c r="J410" s="28">
        <f>SUM(J406:J409)</f>
        <v>850</v>
      </c>
      <c r="K410" s="26">
        <v>0.0</v>
      </c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4" t="s">
        <v>1323</v>
      </c>
      <c r="L411" s="26" t="s">
        <v>1324</v>
      </c>
    </row>
    <row r="412" ht="15.75" customHeight="1">
      <c r="A412" s="32">
        <v>45966.0</v>
      </c>
      <c r="B412" s="26" t="s">
        <v>1325</v>
      </c>
      <c r="C412" s="26" t="s">
        <v>1326</v>
      </c>
      <c r="D412" s="26" t="s">
        <v>1327</v>
      </c>
      <c r="E412" s="26">
        <v>600.0</v>
      </c>
      <c r="F412" s="26">
        <v>600.0</v>
      </c>
      <c r="G412" s="26">
        <v>0.0</v>
      </c>
      <c r="H412" s="26">
        <v>0.0</v>
      </c>
      <c r="I412" s="26">
        <v>0.0</v>
      </c>
      <c r="J412" s="26">
        <v>600.0</v>
      </c>
      <c r="K412" s="26">
        <v>0.0</v>
      </c>
    </row>
    <row r="413" ht="15.75" customHeight="1">
      <c r="B413" s="26" t="s">
        <v>1328</v>
      </c>
      <c r="C413" s="26" t="s">
        <v>1242</v>
      </c>
      <c r="D413" s="26" t="s">
        <v>1329</v>
      </c>
      <c r="E413" s="26">
        <v>200.0</v>
      </c>
      <c r="F413" s="26">
        <v>200.0</v>
      </c>
      <c r="G413" s="26">
        <v>0.0</v>
      </c>
      <c r="H413" s="26">
        <v>0.0</v>
      </c>
      <c r="I413" s="26">
        <v>0.0</v>
      </c>
      <c r="J413" s="26">
        <v>200.0</v>
      </c>
      <c r="K413" s="26">
        <v>0.0</v>
      </c>
    </row>
    <row r="414" ht="15.75" customHeight="1">
      <c r="B414" s="26" t="s">
        <v>1041</v>
      </c>
      <c r="C414" s="26" t="s">
        <v>1330</v>
      </c>
      <c r="D414" s="26" t="s">
        <v>1331</v>
      </c>
      <c r="E414" s="26">
        <v>190.0</v>
      </c>
      <c r="F414" s="26">
        <v>0.0</v>
      </c>
      <c r="G414" s="26">
        <v>190.0</v>
      </c>
      <c r="H414" s="26">
        <v>0.0</v>
      </c>
      <c r="I414" s="26">
        <v>0.0</v>
      </c>
      <c r="J414" s="26">
        <v>190.0</v>
      </c>
      <c r="K414" s="26">
        <v>0.0</v>
      </c>
    </row>
    <row r="415" ht="15.75" customHeight="1">
      <c r="E415" s="28">
        <f t="shared" ref="E415:H415" si="51">SUM(E412:E414)</f>
        <v>990</v>
      </c>
      <c r="F415" s="28">
        <f t="shared" si="51"/>
        <v>800</v>
      </c>
      <c r="G415" s="28">
        <f t="shared" si="51"/>
        <v>190</v>
      </c>
      <c r="H415" s="28">
        <f t="shared" si="51"/>
        <v>0</v>
      </c>
      <c r="I415" s="26">
        <v>0.0</v>
      </c>
      <c r="J415" s="28">
        <f>SUM(J412:J414)</f>
        <v>990</v>
      </c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 ht="15.75" customHeight="1">
      <c r="A417" s="32">
        <v>45967.0</v>
      </c>
      <c r="B417" s="26" t="s">
        <v>1191</v>
      </c>
      <c r="C417" s="26" t="s">
        <v>1332</v>
      </c>
      <c r="D417" s="26" t="s">
        <v>934</v>
      </c>
      <c r="E417" s="26">
        <v>450.0</v>
      </c>
      <c r="F417" s="26">
        <v>0.0</v>
      </c>
      <c r="G417" s="26">
        <v>450.0</v>
      </c>
      <c r="H417" s="26">
        <v>0.0</v>
      </c>
      <c r="I417" s="26">
        <v>0.0</v>
      </c>
      <c r="J417" s="26">
        <v>450.0</v>
      </c>
      <c r="K417" s="26">
        <v>0.0</v>
      </c>
    </row>
    <row r="418" ht="15.75" customHeight="1">
      <c r="B418" s="26" t="s">
        <v>1199</v>
      </c>
      <c r="C418" s="26" t="s">
        <v>1333</v>
      </c>
      <c r="D418" s="26" t="s">
        <v>1024</v>
      </c>
      <c r="E418" s="26">
        <v>620.0</v>
      </c>
      <c r="F418" s="26">
        <v>0.0</v>
      </c>
      <c r="G418" s="26">
        <v>620.0</v>
      </c>
      <c r="H418" s="26">
        <v>0.0</v>
      </c>
      <c r="I418" s="26">
        <v>0.0</v>
      </c>
      <c r="J418" s="26">
        <v>620.0</v>
      </c>
      <c r="K418" s="26">
        <v>0.0</v>
      </c>
    </row>
    <row r="419" ht="15.75" customHeight="1">
      <c r="B419" s="26" t="s">
        <v>1334</v>
      </c>
      <c r="C419" s="26" t="s">
        <v>50</v>
      </c>
      <c r="D419" s="26" t="s">
        <v>51</v>
      </c>
      <c r="E419" s="26">
        <v>150.0</v>
      </c>
      <c r="F419" s="26">
        <v>0.0</v>
      </c>
      <c r="G419" s="26">
        <v>150.0</v>
      </c>
      <c r="H419" s="26">
        <v>0.0</v>
      </c>
      <c r="I419" s="26">
        <v>0.0</v>
      </c>
      <c r="J419" s="26">
        <v>150.0</v>
      </c>
      <c r="K419" s="26">
        <v>0.0</v>
      </c>
    </row>
    <row r="420" ht="15.75" customHeight="1">
      <c r="B420" s="26" t="s">
        <v>1335</v>
      </c>
      <c r="C420" s="26" t="s">
        <v>1336</v>
      </c>
      <c r="D420" s="26" t="s">
        <v>1337</v>
      </c>
      <c r="E420" s="26">
        <v>50.0</v>
      </c>
      <c r="F420" s="26">
        <v>50.0</v>
      </c>
      <c r="G420" s="26">
        <v>0.0</v>
      </c>
      <c r="H420" s="26">
        <v>0.0</v>
      </c>
      <c r="I420" s="26">
        <v>0.0</v>
      </c>
      <c r="J420" s="26">
        <v>50.0</v>
      </c>
      <c r="K420" s="26">
        <v>0.0</v>
      </c>
    </row>
    <row r="421" ht="15.75" customHeight="1">
      <c r="B421" s="26" t="s">
        <v>1338</v>
      </c>
      <c r="C421" s="26" t="s">
        <v>1339</v>
      </c>
      <c r="D421" s="26" t="s">
        <v>1340</v>
      </c>
      <c r="E421" s="26">
        <v>500.0</v>
      </c>
      <c r="F421" s="26">
        <v>500.0</v>
      </c>
      <c r="G421" s="26">
        <v>0.0</v>
      </c>
      <c r="H421" s="26">
        <v>0.0</v>
      </c>
      <c r="I421" s="26">
        <v>0.0</v>
      </c>
      <c r="J421" s="26">
        <v>500.0</v>
      </c>
      <c r="K421" s="26">
        <v>0.0</v>
      </c>
    </row>
    <row r="422" ht="15.75" customHeight="1">
      <c r="E422" s="28">
        <f t="shared" ref="E422:G422" si="52">SUM(E417:E421)</f>
        <v>1770</v>
      </c>
      <c r="F422" s="28">
        <f t="shared" si="52"/>
        <v>550</v>
      </c>
      <c r="G422" s="28">
        <f t="shared" si="52"/>
        <v>1220</v>
      </c>
      <c r="J422" s="28">
        <f>SUM(J417:J421)</f>
        <v>1770</v>
      </c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 ht="15.75" customHeight="1">
      <c r="A432" s="46">
        <v>45972.0</v>
      </c>
      <c r="B432" s="26" t="s">
        <v>1341</v>
      </c>
      <c r="C432" s="26" t="s">
        <v>1342</v>
      </c>
      <c r="D432" s="26" t="s">
        <v>909</v>
      </c>
      <c r="E432" s="26">
        <v>200.0</v>
      </c>
      <c r="F432" s="26">
        <v>0.0</v>
      </c>
      <c r="G432" s="26">
        <v>200.0</v>
      </c>
      <c r="H432" s="26">
        <v>0.0</v>
      </c>
      <c r="I432" s="26">
        <v>0.0</v>
      </c>
      <c r="J432" s="26">
        <v>200.0</v>
      </c>
      <c r="K432" s="26">
        <v>0.0</v>
      </c>
    </row>
    <row r="433" ht="15.75" customHeight="1">
      <c r="B433" s="26" t="s">
        <v>358</v>
      </c>
      <c r="C433" s="26" t="s">
        <v>1343</v>
      </c>
      <c r="D433" s="26" t="s">
        <v>1344</v>
      </c>
      <c r="E433" s="26">
        <v>60.0</v>
      </c>
      <c r="F433" s="26">
        <v>0.0</v>
      </c>
      <c r="G433" s="26">
        <v>60.0</v>
      </c>
      <c r="H433" s="26">
        <v>0.0</v>
      </c>
      <c r="I433" s="26">
        <v>0.0</v>
      </c>
      <c r="J433" s="26">
        <v>60.0</v>
      </c>
      <c r="K433" s="26">
        <v>0.0</v>
      </c>
    </row>
    <row r="434" ht="15.75" customHeight="1">
      <c r="B434" s="26" t="s">
        <v>1345</v>
      </c>
      <c r="C434" s="26" t="s">
        <v>1346</v>
      </c>
      <c r="D434" s="26" t="s">
        <v>934</v>
      </c>
      <c r="E434" s="26">
        <v>450.0</v>
      </c>
      <c r="F434" s="26">
        <v>0.0</v>
      </c>
      <c r="G434" s="26">
        <v>450.0</v>
      </c>
      <c r="H434" s="26">
        <v>0.0</v>
      </c>
      <c r="I434" s="26">
        <v>0.0</v>
      </c>
      <c r="J434" s="26">
        <v>450.0</v>
      </c>
      <c r="K434" s="26">
        <v>0.0</v>
      </c>
    </row>
    <row r="435" ht="15.75" customHeight="1">
      <c r="B435" s="26" t="s">
        <v>1347</v>
      </c>
      <c r="C435" s="26" t="s">
        <v>1348</v>
      </c>
      <c r="D435" s="26" t="s">
        <v>1349</v>
      </c>
      <c r="E435" s="26">
        <v>500.0</v>
      </c>
      <c r="F435" s="26">
        <v>0.0</v>
      </c>
      <c r="G435" s="26">
        <v>500.0</v>
      </c>
      <c r="H435" s="26">
        <v>0.0</v>
      </c>
      <c r="I435" s="26">
        <v>0.0</v>
      </c>
      <c r="J435" s="26">
        <v>500.0</v>
      </c>
      <c r="K435" s="26">
        <v>0.0</v>
      </c>
    </row>
    <row r="436" ht="15.75" customHeight="1">
      <c r="B436" s="26" t="s">
        <v>1350</v>
      </c>
      <c r="C436" s="26" t="s">
        <v>1351</v>
      </c>
      <c r="D436" s="26" t="s">
        <v>1352</v>
      </c>
      <c r="E436" s="26">
        <v>900.0</v>
      </c>
      <c r="F436" s="26">
        <v>800.0</v>
      </c>
      <c r="G436" s="26">
        <v>100.0</v>
      </c>
      <c r="H436" s="26">
        <v>0.0</v>
      </c>
      <c r="I436" s="26">
        <v>0.0</v>
      </c>
      <c r="J436" s="26">
        <v>900.0</v>
      </c>
      <c r="K436" s="26">
        <v>0.0</v>
      </c>
    </row>
    <row r="437" ht="15.75" customHeight="1">
      <c r="B437" s="26" t="s">
        <v>1353</v>
      </c>
      <c r="C437" s="26" t="s">
        <v>1354</v>
      </c>
      <c r="D437" s="26" t="s">
        <v>51</v>
      </c>
      <c r="E437" s="26">
        <v>320.0</v>
      </c>
      <c r="F437" s="26">
        <v>0.0</v>
      </c>
      <c r="G437" s="26">
        <v>320.0</v>
      </c>
      <c r="H437" s="26">
        <v>0.0</v>
      </c>
      <c r="I437" s="26">
        <v>0.0</v>
      </c>
      <c r="J437" s="26">
        <v>320.0</v>
      </c>
      <c r="K437" s="26">
        <v>0.0</v>
      </c>
    </row>
    <row r="438" ht="15.75" customHeight="1">
      <c r="B438" s="26" t="s">
        <v>589</v>
      </c>
      <c r="C438" s="26" t="s">
        <v>582</v>
      </c>
      <c r="D438" s="26" t="s">
        <v>51</v>
      </c>
      <c r="E438" s="26">
        <v>250.0</v>
      </c>
      <c r="F438" s="26">
        <v>0.0</v>
      </c>
      <c r="G438" s="26">
        <v>250.0</v>
      </c>
      <c r="H438" s="26">
        <v>0.0</v>
      </c>
      <c r="I438" s="26">
        <v>0.0</v>
      </c>
      <c r="J438" s="26">
        <v>250.0</v>
      </c>
      <c r="K438" s="26">
        <v>0.0</v>
      </c>
    </row>
    <row r="439" ht="15.75" customHeight="1">
      <c r="B439" s="26" t="s">
        <v>66</v>
      </c>
      <c r="C439" s="26" t="s">
        <v>817</v>
      </c>
      <c r="D439" s="26" t="s">
        <v>1355</v>
      </c>
      <c r="E439" s="26">
        <v>300.0</v>
      </c>
      <c r="F439" s="26">
        <v>300.0</v>
      </c>
      <c r="G439" s="26">
        <v>0.0</v>
      </c>
      <c r="H439" s="26">
        <v>0.0</v>
      </c>
      <c r="I439" s="26">
        <v>0.0</v>
      </c>
      <c r="J439" s="26">
        <v>300.0</v>
      </c>
      <c r="K439" s="26">
        <v>0.0</v>
      </c>
    </row>
    <row r="440" ht="15.75" customHeight="1">
      <c r="E440" s="26">
        <v>200.0</v>
      </c>
      <c r="F440" s="26">
        <v>100.0</v>
      </c>
      <c r="G440" s="26">
        <v>100.0</v>
      </c>
      <c r="H440" s="26">
        <v>0.0</v>
      </c>
      <c r="I440" s="26">
        <v>0.0</v>
      </c>
      <c r="J440" s="26">
        <v>200.0</v>
      </c>
      <c r="K440" s="26">
        <v>0.0</v>
      </c>
    </row>
    <row r="441" ht="15.75" customHeight="1">
      <c r="E441" s="28">
        <f t="shared" ref="E441:G441" si="53">SUM(E432:E440)</f>
        <v>3180</v>
      </c>
      <c r="F441" s="28">
        <f t="shared" si="53"/>
        <v>1200</v>
      </c>
      <c r="G441" s="28">
        <f t="shared" si="53"/>
        <v>1980</v>
      </c>
      <c r="H441" s="26">
        <v>0.0</v>
      </c>
      <c r="I441" s="26">
        <v>0.0</v>
      </c>
      <c r="J441" s="28">
        <f>SUM(J432:J440)</f>
        <v>3180</v>
      </c>
      <c r="K441" s="26">
        <v>0.0</v>
      </c>
    </row>
    <row r="442" ht="15.75" customHeight="1">
      <c r="K442" s="26" t="s">
        <v>1356</v>
      </c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 ht="15.75" customHeight="1">
      <c r="A444" s="46">
        <v>45973.0</v>
      </c>
      <c r="B444" s="26" t="s">
        <v>1357</v>
      </c>
      <c r="C444" s="26" t="s">
        <v>1358</v>
      </c>
      <c r="D444" s="26" t="s">
        <v>1293</v>
      </c>
      <c r="E444" s="26">
        <v>200.0</v>
      </c>
      <c r="F444" s="26">
        <v>0.0</v>
      </c>
      <c r="G444" s="26">
        <v>200.0</v>
      </c>
      <c r="H444" s="26">
        <v>0.0</v>
      </c>
      <c r="I444" s="26">
        <v>0.0</v>
      </c>
      <c r="J444" s="26">
        <v>200.0</v>
      </c>
      <c r="K444" s="26">
        <v>0.0</v>
      </c>
    </row>
    <row r="445" ht="15.75" customHeight="1">
      <c r="B445" s="26" t="s">
        <v>1359</v>
      </c>
      <c r="C445" s="26" t="s">
        <v>1360</v>
      </c>
      <c r="D445" s="26" t="s">
        <v>248</v>
      </c>
      <c r="E445" s="26">
        <v>100.0</v>
      </c>
      <c r="F445" s="26">
        <v>0.0</v>
      </c>
      <c r="G445" s="26">
        <v>100.0</v>
      </c>
      <c r="H445" s="26">
        <v>0.0</v>
      </c>
      <c r="I445" s="26">
        <v>0.0</v>
      </c>
      <c r="J445" s="26">
        <v>100.0</v>
      </c>
      <c r="K445" s="26">
        <v>0.0</v>
      </c>
    </row>
    <row r="446" ht="15.75" customHeight="1">
      <c r="B446" s="26" t="s">
        <v>542</v>
      </c>
      <c r="C446" s="26" t="s">
        <v>1361</v>
      </c>
      <c r="D446" s="26" t="s">
        <v>65</v>
      </c>
      <c r="E446" s="26">
        <v>600.0</v>
      </c>
      <c r="F446" s="26">
        <v>0.0</v>
      </c>
      <c r="G446" s="26">
        <v>600.0</v>
      </c>
      <c r="H446" s="26">
        <v>0.0</v>
      </c>
      <c r="I446" s="26">
        <v>0.0</v>
      </c>
      <c r="J446" s="26">
        <v>600.0</v>
      </c>
      <c r="K446" s="26">
        <v>0.0</v>
      </c>
    </row>
    <row r="447" ht="15.75" customHeight="1">
      <c r="E447" s="28">
        <f>SUM(E444:E446)</f>
        <v>900</v>
      </c>
      <c r="F447" s="26">
        <v>0.0</v>
      </c>
      <c r="G447" s="28">
        <f>SUM(G444:G446)</f>
        <v>900</v>
      </c>
      <c r="H447" s="26">
        <v>0.0</v>
      </c>
      <c r="I447" s="26">
        <v>0.0</v>
      </c>
      <c r="J447" s="28">
        <f t="shared" ref="J447:K447" si="54">SUM(J444:J446)</f>
        <v>900</v>
      </c>
      <c r="K447" s="28">
        <f t="shared" si="54"/>
        <v>0</v>
      </c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 ht="15.75" customHeight="1">
      <c r="A449" s="46">
        <v>45974.0</v>
      </c>
      <c r="B449" s="26" t="s">
        <v>1087</v>
      </c>
      <c r="C449" s="26" t="s">
        <v>1362</v>
      </c>
      <c r="D449" s="26" t="s">
        <v>934</v>
      </c>
      <c r="E449" s="26">
        <v>450.0</v>
      </c>
      <c r="F449" s="26">
        <v>450.0</v>
      </c>
      <c r="G449" s="26">
        <v>0.0</v>
      </c>
      <c r="H449" s="26">
        <v>0.0</v>
      </c>
      <c r="I449" s="26">
        <v>0.0</v>
      </c>
      <c r="J449" s="26">
        <v>450.0</v>
      </c>
      <c r="K449" s="26">
        <v>0.0</v>
      </c>
    </row>
    <row r="450" ht="15.75" customHeight="1">
      <c r="B450" s="26" t="s">
        <v>71</v>
      </c>
      <c r="C450" s="26" t="s">
        <v>932</v>
      </c>
      <c r="D450" s="26" t="s">
        <v>51</v>
      </c>
      <c r="E450" s="26">
        <v>300.0</v>
      </c>
      <c r="F450" s="26">
        <v>0.0</v>
      </c>
      <c r="G450" s="26">
        <v>300.0</v>
      </c>
      <c r="H450" s="26">
        <v>0.0</v>
      </c>
      <c r="I450" s="26">
        <v>0.0</v>
      </c>
      <c r="J450" s="26">
        <v>300.0</v>
      </c>
      <c r="K450" s="26">
        <v>0.0</v>
      </c>
    </row>
    <row r="451" ht="15.75" customHeight="1">
      <c r="B451" s="26"/>
      <c r="C451" s="26" t="s">
        <v>1363</v>
      </c>
      <c r="D451" s="26" t="s">
        <v>1054</v>
      </c>
      <c r="E451" s="26">
        <v>450.0</v>
      </c>
      <c r="F451" s="26">
        <v>0.0</v>
      </c>
      <c r="G451" s="26">
        <v>450.0</v>
      </c>
      <c r="H451" s="26">
        <v>0.0</v>
      </c>
      <c r="I451" s="26">
        <v>0.0</v>
      </c>
      <c r="J451" s="26">
        <v>450.0</v>
      </c>
      <c r="K451" s="26">
        <v>0.0</v>
      </c>
    </row>
    <row r="452" ht="15.75" customHeight="1">
      <c r="B452" s="26" t="s">
        <v>1248</v>
      </c>
      <c r="C452" s="26" t="s">
        <v>1364</v>
      </c>
      <c r="D452" s="26" t="s">
        <v>934</v>
      </c>
      <c r="E452" s="26">
        <v>450.0</v>
      </c>
      <c r="F452" s="26">
        <v>450.0</v>
      </c>
      <c r="G452" s="26">
        <v>0.0</v>
      </c>
      <c r="H452" s="26">
        <v>0.0</v>
      </c>
      <c r="I452" s="26">
        <v>0.0</v>
      </c>
      <c r="J452" s="26">
        <v>450.0</v>
      </c>
      <c r="K452" s="26">
        <v>0.0</v>
      </c>
    </row>
    <row r="453" ht="15.75" customHeight="1">
      <c r="B453" s="26" t="s">
        <v>1365</v>
      </c>
      <c r="C453" s="26" t="s">
        <v>1366</v>
      </c>
      <c r="D453" s="26" t="s">
        <v>1367</v>
      </c>
      <c r="E453" s="26">
        <v>350.0</v>
      </c>
      <c r="F453" s="26">
        <v>0.0</v>
      </c>
      <c r="G453" s="26">
        <v>350.0</v>
      </c>
      <c r="H453" s="26">
        <v>0.0</v>
      </c>
      <c r="I453" s="26">
        <v>0.0</v>
      </c>
      <c r="J453" s="26">
        <v>350.0</v>
      </c>
      <c r="K453" s="26">
        <v>0.0</v>
      </c>
    </row>
    <row r="454" ht="15.75" customHeight="1">
      <c r="B454" s="26" t="s">
        <v>1368</v>
      </c>
      <c r="C454" s="26" t="s">
        <v>1369</v>
      </c>
      <c r="D454" s="26" t="s">
        <v>565</v>
      </c>
      <c r="E454" s="26">
        <v>600.0</v>
      </c>
      <c r="F454" s="26">
        <v>600.0</v>
      </c>
      <c r="G454" s="26">
        <v>0.0</v>
      </c>
      <c r="H454" s="26">
        <v>0.0</v>
      </c>
      <c r="I454" s="26">
        <v>0.0</v>
      </c>
      <c r="J454" s="28">
        <f>SUM(J449:J453)</f>
        <v>2000</v>
      </c>
      <c r="K454" s="26">
        <v>0.0</v>
      </c>
    </row>
    <row r="455" ht="15.75" customHeight="1">
      <c r="E455" s="28">
        <f t="shared" ref="E455:G455" si="55">SUM(E449:E454)</f>
        <v>2600</v>
      </c>
      <c r="F455" s="28">
        <f t="shared" si="55"/>
        <v>1500</v>
      </c>
      <c r="G455" s="28">
        <f t="shared" si="55"/>
        <v>1100</v>
      </c>
      <c r="K455" s="26" t="s">
        <v>1370</v>
      </c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</row>
    <row r="457" ht="15.75" customHeight="1">
      <c r="A457" s="46">
        <v>45975.0</v>
      </c>
      <c r="K457" s="26" t="s">
        <v>1371</v>
      </c>
    </row>
    <row r="458" ht="15.75" customHeight="1"/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 ht="15.75" customHeight="1">
      <c r="A460" s="46">
        <v>45978.0</v>
      </c>
      <c r="B460" s="26" t="s">
        <v>403</v>
      </c>
      <c r="C460" s="26" t="s">
        <v>1372</v>
      </c>
      <c r="D460" s="26" t="s">
        <v>51</v>
      </c>
      <c r="E460" s="26">
        <v>300.0</v>
      </c>
      <c r="F460" s="26">
        <v>0.0</v>
      </c>
      <c r="G460" s="26">
        <v>300.0</v>
      </c>
      <c r="H460" s="26">
        <v>0.0</v>
      </c>
      <c r="I460" s="26">
        <v>0.0</v>
      </c>
    </row>
    <row r="461" ht="15.75" customHeight="1">
      <c r="B461" s="26" t="s">
        <v>1373</v>
      </c>
      <c r="C461" s="26" t="s">
        <v>1374</v>
      </c>
      <c r="D461" s="26" t="s">
        <v>1375</v>
      </c>
      <c r="E461" s="26">
        <v>850.0</v>
      </c>
      <c r="F461" s="26">
        <v>850.0</v>
      </c>
      <c r="G461" s="26">
        <v>0.0</v>
      </c>
      <c r="H461" s="26">
        <v>0.0</v>
      </c>
      <c r="I461" s="26">
        <v>0.0</v>
      </c>
    </row>
    <row r="462" ht="15.75" customHeight="1">
      <c r="E462" s="28">
        <f>SUM(E460:E461)</f>
        <v>1150</v>
      </c>
      <c r="F462" s="26">
        <v>850.0</v>
      </c>
      <c r="G462" s="26">
        <v>300.0</v>
      </c>
      <c r="H462" s="26">
        <v>0.0</v>
      </c>
      <c r="I462" s="26">
        <v>0.0</v>
      </c>
    </row>
    <row r="463" ht="15.75" customHeight="1">
      <c r="K463" s="26" t="s">
        <v>1376</v>
      </c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</row>
    <row r="465" ht="15.75" customHeight="1">
      <c r="A465" s="46">
        <v>45979.0</v>
      </c>
      <c r="B465" s="26" t="s">
        <v>1377</v>
      </c>
      <c r="C465" s="26" t="s">
        <v>1378</v>
      </c>
      <c r="D465" s="26" t="s">
        <v>934</v>
      </c>
      <c r="E465" s="26">
        <v>450.0</v>
      </c>
      <c r="F465" s="26">
        <v>0.0</v>
      </c>
      <c r="G465" s="26">
        <v>0.0</v>
      </c>
      <c r="H465" s="26">
        <v>0.0</v>
      </c>
      <c r="I465" s="26">
        <v>0.0</v>
      </c>
      <c r="J465" s="26">
        <v>450.0</v>
      </c>
      <c r="K465" s="26">
        <v>0.0</v>
      </c>
    </row>
    <row r="466" ht="15.75" customHeight="1">
      <c r="B466" s="26" t="s">
        <v>1379</v>
      </c>
      <c r="C466" s="26" t="s">
        <v>663</v>
      </c>
      <c r="D466" s="26" t="s">
        <v>51</v>
      </c>
      <c r="E466" s="26">
        <v>350.0</v>
      </c>
      <c r="F466" s="26">
        <v>350.0</v>
      </c>
      <c r="G466" s="26">
        <v>0.0</v>
      </c>
      <c r="H466" s="26">
        <v>0.0</v>
      </c>
      <c r="I466" s="26">
        <v>0.0</v>
      </c>
      <c r="J466" s="26">
        <v>350.0</v>
      </c>
      <c r="K466" s="26">
        <v>0.0</v>
      </c>
    </row>
    <row r="467" ht="15.75" customHeight="1">
      <c r="B467" s="26" t="s">
        <v>1380</v>
      </c>
      <c r="C467" s="26" t="s">
        <v>1381</v>
      </c>
      <c r="D467" s="26" t="s">
        <v>1382</v>
      </c>
      <c r="E467" s="26">
        <v>750.0</v>
      </c>
      <c r="F467" s="26">
        <v>750.0</v>
      </c>
      <c r="G467" s="26">
        <v>0.0</v>
      </c>
      <c r="H467" s="26">
        <v>0.0</v>
      </c>
      <c r="I467" s="26">
        <v>0.0</v>
      </c>
      <c r="J467" s="26">
        <v>750.0</v>
      </c>
      <c r="K467" s="26">
        <v>0.0</v>
      </c>
    </row>
    <row r="468" ht="15.75" customHeight="1">
      <c r="B468" s="26" t="s">
        <v>1383</v>
      </c>
      <c r="C468" s="26" t="s">
        <v>1384</v>
      </c>
      <c r="D468" s="26" t="s">
        <v>1385</v>
      </c>
      <c r="E468" s="26">
        <v>1150.0</v>
      </c>
      <c r="F468" s="26">
        <v>0.0</v>
      </c>
      <c r="G468" s="26">
        <v>572.5</v>
      </c>
      <c r="H468" s="26" t="s">
        <v>1386</v>
      </c>
      <c r="I468" s="26">
        <v>0.0</v>
      </c>
      <c r="J468" s="26">
        <v>1100.0</v>
      </c>
      <c r="K468" s="26">
        <v>45.0</v>
      </c>
    </row>
    <row r="469" ht="15.75" customHeight="1">
      <c r="B469" s="26" t="s">
        <v>1387</v>
      </c>
      <c r="C469" s="26" t="s">
        <v>1388</v>
      </c>
      <c r="D469" s="26" t="s">
        <v>248</v>
      </c>
      <c r="E469" s="26">
        <v>300.0</v>
      </c>
      <c r="F469" s="26">
        <v>0.0</v>
      </c>
      <c r="G469" s="26">
        <v>300.0</v>
      </c>
      <c r="H469" s="26">
        <v>0.0</v>
      </c>
      <c r="I469" s="26">
        <v>0.0</v>
      </c>
      <c r="J469" s="26">
        <v>300.0</v>
      </c>
      <c r="K469" s="26">
        <v>0.0</v>
      </c>
    </row>
    <row r="470" ht="15.75" customHeight="1">
      <c r="E470" s="28">
        <f t="shared" ref="E470:F470" si="56">SUM(E465:E469)</f>
        <v>3000</v>
      </c>
      <c r="F470" s="28">
        <f t="shared" si="56"/>
        <v>1100</v>
      </c>
      <c r="G470" s="26">
        <f>SUM(G468:G469)</f>
        <v>872.5</v>
      </c>
      <c r="H470" s="26" t="s">
        <v>1386</v>
      </c>
      <c r="I470" s="26">
        <v>0.0</v>
      </c>
      <c r="J470" s="28">
        <f t="shared" ref="J470:K470" si="57">SUM(J465:J469)</f>
        <v>2950</v>
      </c>
      <c r="K470" s="28">
        <f t="shared" si="57"/>
        <v>45</v>
      </c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4" t="s">
        <v>1389</v>
      </c>
    </row>
    <row r="472" ht="15.75" customHeight="1">
      <c r="A472" s="46"/>
      <c r="K472" s="26" t="s">
        <v>1390</v>
      </c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</row>
    <row r="475" ht="15.75" customHeight="1">
      <c r="A475" s="46">
        <v>45980.0</v>
      </c>
      <c r="B475" s="26" t="s">
        <v>542</v>
      </c>
      <c r="C475" s="26" t="s">
        <v>1391</v>
      </c>
      <c r="D475" s="26" t="s">
        <v>1392</v>
      </c>
      <c r="E475" s="26">
        <v>600.0</v>
      </c>
      <c r="F475" s="26">
        <v>600.0</v>
      </c>
      <c r="G475" s="26">
        <v>0.0</v>
      </c>
      <c r="H475" s="26">
        <v>0.0</v>
      </c>
      <c r="I475" s="26">
        <v>0.0</v>
      </c>
      <c r="J475" s="26">
        <v>600.0</v>
      </c>
    </row>
    <row r="476" ht="15.75" customHeight="1"/>
    <row r="477" ht="15.75" customHeight="1"/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</row>
    <row r="479" ht="15.75" customHeight="1">
      <c r="A479" s="46">
        <v>45981.0</v>
      </c>
      <c r="B479" s="26" t="s">
        <v>1334</v>
      </c>
      <c r="C479" s="26" t="s">
        <v>1393</v>
      </c>
      <c r="D479" s="26" t="s">
        <v>248</v>
      </c>
      <c r="E479" s="26">
        <v>100.0</v>
      </c>
      <c r="F479" s="26">
        <v>0.0</v>
      </c>
      <c r="G479" s="26">
        <v>100.0</v>
      </c>
      <c r="H479" s="26">
        <v>0.0</v>
      </c>
      <c r="I479" s="26">
        <v>0.0</v>
      </c>
      <c r="J479" s="26">
        <v>100.0</v>
      </c>
      <c r="K479" s="26">
        <v>0.0</v>
      </c>
    </row>
    <row r="480" ht="15.75" customHeight="1">
      <c r="B480" s="26" t="s">
        <v>1394</v>
      </c>
      <c r="C480" s="26" t="s">
        <v>1395</v>
      </c>
      <c r="D480" s="26" t="s">
        <v>51</v>
      </c>
      <c r="E480" s="26">
        <v>320.0</v>
      </c>
      <c r="F480" s="26">
        <v>0.0</v>
      </c>
      <c r="G480" s="26">
        <v>320.0</v>
      </c>
      <c r="H480" s="26">
        <v>0.0</v>
      </c>
      <c r="I480" s="26">
        <v>0.0</v>
      </c>
      <c r="J480" s="26">
        <v>320.0</v>
      </c>
      <c r="K480" s="26">
        <v>0.0</v>
      </c>
    </row>
    <row r="481" ht="15.75" customHeight="1">
      <c r="B481" s="26" t="s">
        <v>118</v>
      </c>
      <c r="C481" s="26" t="s">
        <v>1396</v>
      </c>
      <c r="D481" s="26" t="s">
        <v>291</v>
      </c>
      <c r="E481" s="26">
        <v>100.0</v>
      </c>
      <c r="F481" s="26">
        <v>100.0</v>
      </c>
      <c r="G481" s="26">
        <v>0.0</v>
      </c>
      <c r="H481" s="26">
        <v>0.0</v>
      </c>
      <c r="I481" s="26">
        <v>0.0</v>
      </c>
      <c r="J481" s="26">
        <v>100.0</v>
      </c>
      <c r="K481" s="26">
        <v>0.0</v>
      </c>
    </row>
    <row r="482" ht="15.75" customHeight="1">
      <c r="B482" s="26" t="s">
        <v>1397</v>
      </c>
      <c r="C482" s="26" t="s">
        <v>1398</v>
      </c>
      <c r="D482" s="26" t="s">
        <v>1033</v>
      </c>
      <c r="E482" s="26">
        <v>50.0</v>
      </c>
      <c r="F482" s="26">
        <v>50.0</v>
      </c>
      <c r="G482" s="26">
        <v>0.0</v>
      </c>
      <c r="H482" s="26">
        <v>0.0</v>
      </c>
      <c r="I482" s="26">
        <v>0.0</v>
      </c>
      <c r="J482" s="26">
        <v>50.0</v>
      </c>
      <c r="K482" s="26">
        <v>0.0</v>
      </c>
    </row>
    <row r="483" ht="15.75" customHeight="1">
      <c r="B483" s="26" t="s">
        <v>584</v>
      </c>
      <c r="C483" s="26" t="s">
        <v>1399</v>
      </c>
      <c r="D483" s="26" t="s">
        <v>1400</v>
      </c>
      <c r="E483" s="26">
        <v>420.0</v>
      </c>
      <c r="F483" s="26">
        <v>0.0</v>
      </c>
      <c r="G483" s="26">
        <v>420.0</v>
      </c>
      <c r="H483" s="26">
        <v>0.0</v>
      </c>
      <c r="I483" s="26">
        <v>0.0</v>
      </c>
      <c r="J483" s="26">
        <v>420.0</v>
      </c>
      <c r="K483" s="26">
        <v>0.0</v>
      </c>
    </row>
    <row r="484" ht="15.75" customHeight="1">
      <c r="B484" s="26" t="s">
        <v>109</v>
      </c>
      <c r="C484" s="26" t="s">
        <v>1401</v>
      </c>
      <c r="D484" s="26" t="s">
        <v>337</v>
      </c>
      <c r="E484" s="26">
        <v>200.0</v>
      </c>
      <c r="F484" s="26">
        <v>200.0</v>
      </c>
      <c r="G484" s="26">
        <v>0.0</v>
      </c>
      <c r="H484" s="26">
        <v>0.0</v>
      </c>
      <c r="I484" s="26">
        <v>0.0</v>
      </c>
      <c r="J484" s="26">
        <v>200.0</v>
      </c>
      <c r="K484" s="26">
        <v>0.0</v>
      </c>
    </row>
    <row r="485" ht="15.75" customHeight="1">
      <c r="B485" s="26" t="s">
        <v>1228</v>
      </c>
      <c r="C485" s="26" t="s">
        <v>1229</v>
      </c>
      <c r="D485" s="26" t="s">
        <v>548</v>
      </c>
      <c r="E485" s="26">
        <v>390.0</v>
      </c>
      <c r="F485" s="26">
        <v>390.0</v>
      </c>
      <c r="G485" s="26">
        <v>0.0</v>
      </c>
      <c r="H485" s="26">
        <v>0.0</v>
      </c>
      <c r="I485" s="26">
        <v>0.0</v>
      </c>
      <c r="J485" s="26">
        <v>390.0</v>
      </c>
      <c r="K485" s="26">
        <v>0.0</v>
      </c>
    </row>
    <row r="486" ht="15.75" customHeight="1">
      <c r="B486" s="26" t="s">
        <v>995</v>
      </c>
      <c r="C486" s="26" t="s">
        <v>1402</v>
      </c>
      <c r="D486" s="26" t="s">
        <v>1403</v>
      </c>
      <c r="E486" s="26">
        <v>1100.0</v>
      </c>
      <c r="F486" s="26">
        <v>0.0</v>
      </c>
      <c r="G486" s="26">
        <v>1100.0</v>
      </c>
      <c r="H486" s="26">
        <v>0.0</v>
      </c>
      <c r="I486" s="26">
        <v>0.0</v>
      </c>
      <c r="J486" s="26">
        <v>1100.0</v>
      </c>
      <c r="K486" s="26">
        <v>0.0</v>
      </c>
    </row>
    <row r="487" ht="15.75" customHeight="1">
      <c r="E487" s="28">
        <f t="shared" ref="E487:G487" si="58">SUM(E479:E486)</f>
        <v>2680</v>
      </c>
      <c r="F487" s="28">
        <f t="shared" si="58"/>
        <v>740</v>
      </c>
      <c r="G487" s="28">
        <f t="shared" si="58"/>
        <v>1940</v>
      </c>
      <c r="H487" s="26">
        <v>0.0</v>
      </c>
      <c r="I487" s="26">
        <v>0.0</v>
      </c>
      <c r="J487" s="28">
        <f>SUM(J479:J486)</f>
        <v>2680</v>
      </c>
      <c r="K487" s="26">
        <v>0.0</v>
      </c>
    </row>
    <row r="488" ht="15.75" customHeight="1">
      <c r="K488" s="26" t="s">
        <v>1404</v>
      </c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</row>
    <row r="500" ht="15.75" customHeight="1">
      <c r="A500" s="46">
        <v>45987.0</v>
      </c>
      <c r="B500" s="26"/>
      <c r="C500" s="26" t="s">
        <v>1405</v>
      </c>
      <c r="D500" s="26" t="s">
        <v>337</v>
      </c>
      <c r="E500" s="26">
        <v>350.0</v>
      </c>
      <c r="F500" s="26">
        <v>0.0</v>
      </c>
      <c r="G500" s="26">
        <v>350.0</v>
      </c>
      <c r="H500" s="26">
        <v>0.0</v>
      </c>
      <c r="I500" s="26">
        <v>0.0</v>
      </c>
      <c r="J500" s="26">
        <v>350.0</v>
      </c>
      <c r="K500" s="26">
        <v>0.0</v>
      </c>
    </row>
    <row r="501" ht="15.75" customHeight="1">
      <c r="B501" s="26" t="s">
        <v>895</v>
      </c>
      <c r="C501" s="26" t="s">
        <v>1406</v>
      </c>
      <c r="D501" s="26" t="s">
        <v>337</v>
      </c>
      <c r="E501" s="26">
        <v>250.0</v>
      </c>
      <c r="F501" s="26">
        <v>0.0</v>
      </c>
      <c r="G501" s="26">
        <v>250.0</v>
      </c>
      <c r="H501" s="26">
        <v>0.0</v>
      </c>
      <c r="I501" s="26">
        <v>0.0</v>
      </c>
      <c r="J501" s="26">
        <v>250.0</v>
      </c>
      <c r="K501" s="26">
        <v>0.0</v>
      </c>
    </row>
    <row r="502" ht="15.75" customHeight="1">
      <c r="B502" s="26" t="s">
        <v>384</v>
      </c>
      <c r="C502" s="26" t="s">
        <v>1407</v>
      </c>
      <c r="D502" s="26" t="s">
        <v>337</v>
      </c>
      <c r="E502" s="26">
        <v>250.0</v>
      </c>
      <c r="F502" s="26">
        <v>0.0</v>
      </c>
      <c r="G502" s="26">
        <v>250.0</v>
      </c>
      <c r="H502" s="26">
        <v>0.0</v>
      </c>
      <c r="I502" s="26">
        <v>0.0</v>
      </c>
      <c r="J502" s="26">
        <v>250.0</v>
      </c>
      <c r="K502" s="26">
        <v>0.0</v>
      </c>
    </row>
    <row r="503" ht="15.75" customHeight="1">
      <c r="B503" s="26" t="s">
        <v>1263</v>
      </c>
      <c r="C503" s="26" t="s">
        <v>1408</v>
      </c>
      <c r="D503" s="26" t="s">
        <v>1409</v>
      </c>
      <c r="E503" s="26">
        <v>600.0</v>
      </c>
      <c r="F503" s="26">
        <v>0.0</v>
      </c>
      <c r="G503" s="26">
        <v>600.0</v>
      </c>
      <c r="H503" s="26">
        <v>0.0</v>
      </c>
      <c r="I503" s="26">
        <v>0.0</v>
      </c>
      <c r="J503" s="26">
        <v>600.0</v>
      </c>
      <c r="K503" s="26">
        <v>0.0</v>
      </c>
    </row>
    <row r="504" ht="15.75" customHeight="1">
      <c r="B504" s="26" t="s">
        <v>1410</v>
      </c>
      <c r="C504" s="26" t="s">
        <v>1411</v>
      </c>
      <c r="D504" s="26" t="s">
        <v>1412</v>
      </c>
      <c r="E504" s="26">
        <v>50.0</v>
      </c>
      <c r="F504" s="26">
        <v>50.0</v>
      </c>
      <c r="G504" s="26">
        <v>0.0</v>
      </c>
      <c r="H504" s="26">
        <v>0.0</v>
      </c>
      <c r="I504" s="26">
        <v>0.0</v>
      </c>
      <c r="J504" s="26">
        <v>50.0</v>
      </c>
      <c r="K504" s="26">
        <v>0.0</v>
      </c>
    </row>
    <row r="505" ht="15.75" customHeight="1">
      <c r="B505" s="26" t="s">
        <v>1413</v>
      </c>
      <c r="C505" s="26" t="s">
        <v>1414</v>
      </c>
      <c r="D505" s="26" t="s">
        <v>1415</v>
      </c>
      <c r="E505" s="26">
        <v>50.0</v>
      </c>
      <c r="F505" s="26">
        <v>50.0</v>
      </c>
      <c r="G505" s="26">
        <v>0.0</v>
      </c>
      <c r="H505" s="26">
        <v>0.0</v>
      </c>
      <c r="I505" s="26">
        <v>0.0</v>
      </c>
      <c r="J505" s="26">
        <v>50.0</v>
      </c>
      <c r="K505" s="26">
        <v>0.0</v>
      </c>
    </row>
    <row r="506" ht="15.75" customHeight="1">
      <c r="B506" s="26" t="s">
        <v>622</v>
      </c>
      <c r="C506" s="26" t="s">
        <v>1416</v>
      </c>
      <c r="D506" s="26" t="s">
        <v>1417</v>
      </c>
      <c r="E506" s="26">
        <v>350.0</v>
      </c>
      <c r="F506" s="26">
        <v>0.0</v>
      </c>
      <c r="G506" s="26">
        <v>350.0</v>
      </c>
      <c r="H506" s="26">
        <v>0.0</v>
      </c>
      <c r="I506" s="26">
        <v>0.0</v>
      </c>
      <c r="J506" s="26">
        <v>350.0</v>
      </c>
      <c r="K506" s="26">
        <v>0.0</v>
      </c>
    </row>
    <row r="507" ht="15.75" customHeight="1">
      <c r="E507" s="28">
        <f t="shared" ref="E507:G507" si="59">SUM(E500:E506)</f>
        <v>1900</v>
      </c>
      <c r="F507" s="28">
        <f t="shared" si="59"/>
        <v>100</v>
      </c>
      <c r="G507" s="28">
        <f t="shared" si="59"/>
        <v>1800</v>
      </c>
      <c r="H507" s="26">
        <v>0.0</v>
      </c>
      <c r="I507" s="26">
        <v>0.0</v>
      </c>
      <c r="J507" s="26">
        <v>1900.0</v>
      </c>
      <c r="K507" s="26">
        <v>0.0</v>
      </c>
    </row>
    <row r="508" ht="15.75" customHeight="1">
      <c r="K508" s="26" t="s">
        <v>1418</v>
      </c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</row>
    <row r="510" ht="15.75" customHeight="1">
      <c r="A510" s="46">
        <v>46353.0</v>
      </c>
      <c r="B510" s="26" t="s">
        <v>1154</v>
      </c>
      <c r="C510" s="26" t="s">
        <v>1419</v>
      </c>
      <c r="D510" s="26" t="s">
        <v>127</v>
      </c>
      <c r="E510" s="26">
        <v>250.0</v>
      </c>
      <c r="F510" s="26">
        <v>0.0</v>
      </c>
      <c r="G510" s="26">
        <v>250.0</v>
      </c>
      <c r="H510" s="26">
        <v>0.0</v>
      </c>
      <c r="I510" s="26">
        <v>0.0</v>
      </c>
      <c r="J510" s="26">
        <v>250.0</v>
      </c>
      <c r="K510" s="26">
        <v>0.0</v>
      </c>
    </row>
    <row r="511" ht="15.75" customHeight="1">
      <c r="B511" s="26" t="s">
        <v>1420</v>
      </c>
      <c r="C511" s="26" t="s">
        <v>1421</v>
      </c>
      <c r="D511" s="26" t="s">
        <v>1422</v>
      </c>
      <c r="E511" s="26">
        <v>750.0</v>
      </c>
      <c r="F511" s="26">
        <v>750.0</v>
      </c>
      <c r="G511" s="26">
        <v>0.0</v>
      </c>
      <c r="H511" s="26">
        <v>0.0</v>
      </c>
      <c r="I511" s="26">
        <v>0.0</v>
      </c>
      <c r="J511" s="26">
        <v>750.0</v>
      </c>
      <c r="K511" s="26">
        <v>0.0</v>
      </c>
    </row>
    <row r="512" ht="15.75" customHeight="1">
      <c r="B512" s="26" t="s">
        <v>1111</v>
      </c>
      <c r="C512" s="26" t="s">
        <v>1423</v>
      </c>
      <c r="D512" s="26" t="s">
        <v>127</v>
      </c>
      <c r="E512" s="26">
        <v>300.0</v>
      </c>
      <c r="F512" s="26">
        <v>0.0</v>
      </c>
      <c r="G512" s="26">
        <v>300.0</v>
      </c>
      <c r="H512" s="26">
        <v>0.0</v>
      </c>
      <c r="I512" s="26">
        <v>0.0</v>
      </c>
      <c r="J512" s="26">
        <v>300.0</v>
      </c>
      <c r="K512" s="26">
        <v>0.0</v>
      </c>
    </row>
    <row r="513" ht="15.75" customHeight="1">
      <c r="B513" s="26" t="s">
        <v>1424</v>
      </c>
      <c r="C513" s="26" t="s">
        <v>1425</v>
      </c>
      <c r="D513" s="26" t="s">
        <v>349</v>
      </c>
      <c r="E513" s="26">
        <v>500.0</v>
      </c>
      <c r="F513" s="26">
        <v>500.0</v>
      </c>
      <c r="G513" s="26">
        <v>0.0</v>
      </c>
      <c r="H513" s="26">
        <v>0.0</v>
      </c>
      <c r="I513" s="26">
        <v>0.0</v>
      </c>
      <c r="J513" s="26">
        <v>500.0</v>
      </c>
      <c r="K513" s="26">
        <v>0.0</v>
      </c>
    </row>
    <row r="514" ht="15.75" customHeight="1">
      <c r="B514" s="26" t="s">
        <v>1426</v>
      </c>
      <c r="C514" s="26" t="s">
        <v>1427</v>
      </c>
      <c r="D514" s="26" t="s">
        <v>1150</v>
      </c>
      <c r="E514" s="26">
        <v>450.0</v>
      </c>
      <c r="F514" s="26">
        <v>0.0</v>
      </c>
      <c r="G514" s="26">
        <v>450.0</v>
      </c>
      <c r="H514" s="26">
        <v>0.0</v>
      </c>
      <c r="I514" s="26">
        <v>0.0</v>
      </c>
      <c r="J514" s="26">
        <v>450.0</v>
      </c>
      <c r="K514" s="26">
        <v>0.0</v>
      </c>
    </row>
    <row r="515" ht="15.75" customHeight="1">
      <c r="B515" s="26" t="s">
        <v>1428</v>
      </c>
      <c r="C515" s="26" t="s">
        <v>1429</v>
      </c>
      <c r="D515" s="26" t="s">
        <v>51</v>
      </c>
      <c r="E515" s="26">
        <v>320.0</v>
      </c>
      <c r="F515" s="26">
        <v>0.0</v>
      </c>
      <c r="G515" s="26">
        <v>320.0</v>
      </c>
      <c r="H515" s="26">
        <v>0.0</v>
      </c>
      <c r="I515" s="26">
        <v>0.0</v>
      </c>
      <c r="J515" s="26">
        <v>320.0</v>
      </c>
      <c r="K515" s="26">
        <v>0.0</v>
      </c>
    </row>
    <row r="516" ht="15.75" customHeight="1">
      <c r="B516" s="26" t="s">
        <v>1430</v>
      </c>
      <c r="C516" s="26" t="s">
        <v>1431</v>
      </c>
      <c r="D516" s="26" t="s">
        <v>1432</v>
      </c>
      <c r="E516" s="26">
        <v>50.0</v>
      </c>
      <c r="F516" s="26">
        <v>0.0</v>
      </c>
      <c r="G516" s="26">
        <v>50.0</v>
      </c>
      <c r="H516" s="26">
        <v>0.0</v>
      </c>
      <c r="I516" s="26">
        <v>0.0</v>
      </c>
      <c r="J516" s="26">
        <v>50.0</v>
      </c>
      <c r="K516" s="26">
        <v>0.0</v>
      </c>
    </row>
    <row r="517" ht="15.75" customHeight="1">
      <c r="B517" s="47" t="s">
        <v>759</v>
      </c>
      <c r="C517" s="26" t="s">
        <v>1433</v>
      </c>
      <c r="D517" s="26" t="s">
        <v>1293</v>
      </c>
      <c r="E517" s="26">
        <v>200.0</v>
      </c>
      <c r="F517" s="26">
        <v>0.0</v>
      </c>
      <c r="G517" s="26">
        <v>200.0</v>
      </c>
      <c r="H517" s="26">
        <v>0.0</v>
      </c>
      <c r="I517" s="26">
        <v>0.0</v>
      </c>
      <c r="J517" s="26">
        <v>200.0</v>
      </c>
      <c r="K517" s="26">
        <v>0.0</v>
      </c>
    </row>
    <row r="518" ht="15.75" customHeight="1">
      <c r="B518" s="26" t="s">
        <v>66</v>
      </c>
      <c r="C518" s="26" t="s">
        <v>1434</v>
      </c>
      <c r="D518" s="26" t="s">
        <v>1435</v>
      </c>
      <c r="E518" s="26">
        <v>400.0</v>
      </c>
      <c r="F518" s="26">
        <v>400.0</v>
      </c>
      <c r="G518" s="26">
        <v>0.0</v>
      </c>
      <c r="H518" s="26">
        <v>0.0</v>
      </c>
      <c r="I518" s="26">
        <v>0.0</v>
      </c>
      <c r="J518" s="26">
        <v>400.0</v>
      </c>
      <c r="K518" s="26">
        <v>0.0</v>
      </c>
    </row>
    <row r="519" ht="15.75" customHeight="1">
      <c r="B519" s="26" t="s">
        <v>1436</v>
      </c>
      <c r="C519" s="26" t="s">
        <v>1437</v>
      </c>
      <c r="D519" s="26" t="s">
        <v>224</v>
      </c>
      <c r="E519" s="26">
        <v>300.0</v>
      </c>
      <c r="F519" s="26">
        <v>300.0</v>
      </c>
      <c r="G519" s="26">
        <v>0.0</v>
      </c>
      <c r="H519" s="26">
        <v>0.0</v>
      </c>
      <c r="I519" s="26">
        <v>0.0</v>
      </c>
      <c r="J519" s="26">
        <v>300.0</v>
      </c>
      <c r="K519" s="26">
        <v>0.0</v>
      </c>
    </row>
    <row r="520" ht="15.75" customHeight="1">
      <c r="E520" s="28">
        <f t="shared" ref="E520:G520" si="60">SUM(E510:E519)</f>
        <v>3520</v>
      </c>
      <c r="F520" s="28">
        <f t="shared" si="60"/>
        <v>1950</v>
      </c>
      <c r="G520" s="28">
        <f t="shared" si="60"/>
        <v>1570</v>
      </c>
      <c r="H520" s="26">
        <v>0.0</v>
      </c>
      <c r="I520" s="26">
        <v>0.0</v>
      </c>
      <c r="J520" s="28">
        <f t="shared" ref="J520:K520" si="61">SUM(J510:J519)</f>
        <v>3520</v>
      </c>
      <c r="K520" s="28">
        <f t="shared" si="61"/>
        <v>0</v>
      </c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</row>
    <row r="524" ht="15.75" customHeight="1">
      <c r="A524" s="32">
        <v>45992.0</v>
      </c>
      <c r="B524" s="26" t="s">
        <v>1438</v>
      </c>
      <c r="D524" s="26" t="s">
        <v>1439</v>
      </c>
      <c r="E524" s="26">
        <v>70.0</v>
      </c>
      <c r="F524" s="26">
        <v>0.0</v>
      </c>
      <c r="G524" s="26">
        <v>70.0</v>
      </c>
      <c r="H524" s="26">
        <v>0.0</v>
      </c>
      <c r="I524" s="26">
        <v>0.0</v>
      </c>
      <c r="J524" s="26">
        <v>70.0</v>
      </c>
      <c r="K524" s="26">
        <v>0.0</v>
      </c>
    </row>
    <row r="525" ht="15.75" customHeight="1">
      <c r="B525" s="26" t="s">
        <v>1440</v>
      </c>
      <c r="D525" s="26" t="s">
        <v>51</v>
      </c>
      <c r="E525" s="26">
        <v>320.0</v>
      </c>
      <c r="F525" s="26">
        <v>320.0</v>
      </c>
      <c r="G525" s="26">
        <v>0.0</v>
      </c>
      <c r="H525" s="26">
        <v>0.0</v>
      </c>
      <c r="I525" s="26">
        <v>0.0</v>
      </c>
      <c r="J525" s="26">
        <v>320.0</v>
      </c>
      <c r="K525" s="26">
        <v>0.0</v>
      </c>
    </row>
    <row r="526" ht="15.75" customHeight="1">
      <c r="B526" s="26" t="s">
        <v>386</v>
      </c>
      <c r="C526" s="26" t="s">
        <v>1441</v>
      </c>
      <c r="D526" s="26" t="s">
        <v>548</v>
      </c>
      <c r="E526" s="26">
        <v>400.0</v>
      </c>
      <c r="F526" s="26">
        <v>0.0</v>
      </c>
      <c r="G526" s="26">
        <v>400.0</v>
      </c>
      <c r="H526" s="26">
        <v>0.0</v>
      </c>
      <c r="I526" s="26">
        <v>0.0</v>
      </c>
      <c r="J526" s="26">
        <v>400.0</v>
      </c>
      <c r="K526" s="26">
        <v>0.0</v>
      </c>
    </row>
    <row r="527" ht="15.75" customHeight="1">
      <c r="B527" s="26" t="s">
        <v>1442</v>
      </c>
      <c r="C527" s="26" t="s">
        <v>1443</v>
      </c>
      <c r="D527" s="26" t="s">
        <v>1444</v>
      </c>
      <c r="E527" s="26">
        <v>750.0</v>
      </c>
      <c r="F527" s="26">
        <v>0.0</v>
      </c>
      <c r="G527" s="26">
        <v>750.0</v>
      </c>
      <c r="H527" s="26">
        <v>0.0</v>
      </c>
      <c r="I527" s="26">
        <v>0.0</v>
      </c>
      <c r="J527" s="26">
        <v>750.0</v>
      </c>
      <c r="K527" s="26">
        <v>0.0</v>
      </c>
    </row>
    <row r="528" ht="15.75" customHeight="1">
      <c r="B528" s="26" t="s">
        <v>800</v>
      </c>
      <c r="C528" s="26" t="s">
        <v>582</v>
      </c>
      <c r="D528" s="26" t="s">
        <v>1240</v>
      </c>
      <c r="E528" s="26">
        <v>300.0</v>
      </c>
      <c r="F528" s="26">
        <v>0.0</v>
      </c>
      <c r="G528" s="26">
        <v>300.0</v>
      </c>
      <c r="H528" s="26">
        <v>0.0</v>
      </c>
      <c r="I528" s="26">
        <v>0.0</v>
      </c>
      <c r="J528" s="26">
        <v>300.0</v>
      </c>
      <c r="K528" s="26">
        <v>0.0</v>
      </c>
    </row>
    <row r="529" ht="15.75" customHeight="1">
      <c r="B529" s="26" t="s">
        <v>802</v>
      </c>
      <c r="D529" s="26" t="s">
        <v>51</v>
      </c>
      <c r="E529" s="26">
        <v>300.0</v>
      </c>
      <c r="F529" s="26">
        <v>0.0</v>
      </c>
      <c r="G529" s="26">
        <v>300.0</v>
      </c>
      <c r="H529" s="26">
        <v>0.0</v>
      </c>
      <c r="I529" s="26">
        <v>0.0</v>
      </c>
      <c r="J529" s="26">
        <v>300.0</v>
      </c>
      <c r="K529" s="26">
        <v>0.0</v>
      </c>
    </row>
    <row r="530" ht="15.75" customHeight="1">
      <c r="B530" s="26" t="s">
        <v>1373</v>
      </c>
      <c r="C530" s="26" t="s">
        <v>1445</v>
      </c>
      <c r="D530" s="26" t="s">
        <v>337</v>
      </c>
      <c r="E530" s="26">
        <v>200.0</v>
      </c>
      <c r="F530" s="26">
        <v>0.0</v>
      </c>
      <c r="G530" s="26">
        <v>200.0</v>
      </c>
      <c r="H530" s="26">
        <v>0.0</v>
      </c>
      <c r="I530" s="26">
        <v>0.0</v>
      </c>
      <c r="J530" s="26">
        <v>200.0</v>
      </c>
      <c r="K530" s="26">
        <v>0.0</v>
      </c>
    </row>
    <row r="531" ht="15.75" customHeight="1">
      <c r="E531" s="28">
        <f t="shared" ref="E531:G531" si="62">SUM(E524:E530)</f>
        <v>2340</v>
      </c>
      <c r="F531" s="28">
        <f t="shared" si="62"/>
        <v>320</v>
      </c>
      <c r="G531" s="28">
        <f t="shared" si="62"/>
        <v>2020</v>
      </c>
      <c r="H531" s="26">
        <v>0.0</v>
      </c>
      <c r="I531" s="26">
        <v>0.0</v>
      </c>
      <c r="J531" s="26">
        <v>0.0</v>
      </c>
      <c r="K531" s="26">
        <v>0.0</v>
      </c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</row>
    <row r="533" ht="15.75" customHeight="1">
      <c r="A533" s="32">
        <v>45993.0</v>
      </c>
      <c r="B533" s="26" t="s">
        <v>1446</v>
      </c>
      <c r="C533" s="26" t="s">
        <v>1447</v>
      </c>
      <c r="D533" s="26" t="s">
        <v>1448</v>
      </c>
      <c r="E533" s="26">
        <v>1050.0</v>
      </c>
      <c r="F533" s="26">
        <v>1050.0</v>
      </c>
      <c r="G533" s="26">
        <v>0.0</v>
      </c>
      <c r="H533" s="26">
        <v>0.0</v>
      </c>
      <c r="I533" s="26">
        <v>0.0</v>
      </c>
      <c r="J533" s="26">
        <v>1050.0</v>
      </c>
      <c r="K533" s="26">
        <v>0.0</v>
      </c>
    </row>
    <row r="534" ht="15.75" customHeight="1">
      <c r="B534" s="26" t="s">
        <v>542</v>
      </c>
      <c r="C534" s="26" t="s">
        <v>1449</v>
      </c>
      <c r="D534" s="26" t="s">
        <v>1450</v>
      </c>
      <c r="E534" s="26">
        <v>250.0</v>
      </c>
      <c r="F534" s="26">
        <v>0.0</v>
      </c>
      <c r="G534" s="26">
        <v>250.0</v>
      </c>
      <c r="H534" s="26">
        <v>0.0</v>
      </c>
      <c r="I534" s="26">
        <v>0.0</v>
      </c>
      <c r="J534" s="26">
        <v>250.0</v>
      </c>
      <c r="K534" s="26">
        <v>0.0</v>
      </c>
    </row>
    <row r="535" ht="15.75" customHeight="1">
      <c r="B535" s="26" t="s">
        <v>1451</v>
      </c>
      <c r="C535" s="26" t="s">
        <v>1452</v>
      </c>
      <c r="D535" s="26" t="s">
        <v>248</v>
      </c>
      <c r="E535" s="26">
        <v>550.0</v>
      </c>
      <c r="F535" s="26">
        <v>400.0</v>
      </c>
      <c r="G535" s="26">
        <v>150.0</v>
      </c>
      <c r="H535" s="26">
        <v>0.0</v>
      </c>
      <c r="I535" s="26">
        <v>0.0</v>
      </c>
      <c r="J535" s="26">
        <v>550.0</v>
      </c>
      <c r="K535" s="26">
        <v>0.0</v>
      </c>
    </row>
    <row r="536" ht="15.75" customHeight="1">
      <c r="B536" s="26" t="s">
        <v>1453</v>
      </c>
      <c r="C536" s="26" t="s">
        <v>1454</v>
      </c>
      <c r="D536" s="26" t="s">
        <v>51</v>
      </c>
      <c r="E536" s="26">
        <v>300.0</v>
      </c>
      <c r="F536" s="26">
        <v>0.0</v>
      </c>
      <c r="G536" s="26">
        <v>300.0</v>
      </c>
      <c r="H536" s="26">
        <v>0.0</v>
      </c>
      <c r="I536" s="26">
        <v>0.0</v>
      </c>
      <c r="J536" s="26">
        <v>300.0</v>
      </c>
      <c r="K536" s="26">
        <v>0.0</v>
      </c>
    </row>
    <row r="537" ht="15.75" customHeight="1">
      <c r="B537" s="26" t="s">
        <v>1455</v>
      </c>
      <c r="C537" s="26" t="s">
        <v>1395</v>
      </c>
      <c r="D537" s="26" t="s">
        <v>51</v>
      </c>
      <c r="E537" s="26">
        <v>320.0</v>
      </c>
      <c r="F537" s="26">
        <v>320.0</v>
      </c>
      <c r="G537" s="26">
        <v>0.0</v>
      </c>
      <c r="H537" s="26">
        <v>0.0</v>
      </c>
      <c r="I537" s="26">
        <v>0.0</v>
      </c>
      <c r="J537" s="26">
        <v>320.0</v>
      </c>
      <c r="K537" s="26">
        <v>0.0</v>
      </c>
    </row>
    <row r="538" ht="15.75" customHeight="1">
      <c r="B538" s="26"/>
      <c r="C538" s="26"/>
      <c r="D538" s="26"/>
      <c r="E538" s="26">
        <v>900.0</v>
      </c>
      <c r="F538" s="26">
        <v>0.0</v>
      </c>
      <c r="G538" s="26">
        <v>0.0</v>
      </c>
      <c r="H538" s="26">
        <v>900.0</v>
      </c>
      <c r="I538" s="26">
        <v>0.0</v>
      </c>
      <c r="J538" s="26">
        <v>900.0</v>
      </c>
      <c r="K538" s="26">
        <v>0.0</v>
      </c>
    </row>
    <row r="539" ht="15.75" customHeight="1">
      <c r="E539" s="28">
        <f t="shared" ref="E539:G539" si="63">SUM(E533:E538)</f>
        <v>3370</v>
      </c>
      <c r="F539" s="28">
        <f t="shared" si="63"/>
        <v>1770</v>
      </c>
      <c r="G539" s="28">
        <f t="shared" si="63"/>
        <v>700</v>
      </c>
      <c r="H539" s="26">
        <v>900.0</v>
      </c>
      <c r="I539" s="26">
        <v>0.0</v>
      </c>
      <c r="J539" s="28">
        <f>SUM(J533:J538)</f>
        <v>3370</v>
      </c>
      <c r="K539" s="26">
        <v>0.0</v>
      </c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4" t="s">
        <v>1456</v>
      </c>
      <c r="L540" s="26" t="s">
        <v>1457</v>
      </c>
    </row>
    <row r="541" ht="15.75" customHeight="1">
      <c r="A541" s="32">
        <v>45994.0</v>
      </c>
      <c r="B541" s="26" t="s">
        <v>1458</v>
      </c>
      <c r="C541" s="26" t="s">
        <v>1459</v>
      </c>
      <c r="D541" s="26" t="s">
        <v>1460</v>
      </c>
      <c r="E541" s="26">
        <v>150.0</v>
      </c>
      <c r="F541" s="26">
        <v>0.0</v>
      </c>
      <c r="G541" s="26">
        <v>150.0</v>
      </c>
      <c r="H541" s="26">
        <v>0.0</v>
      </c>
      <c r="I541" s="26">
        <v>0.0</v>
      </c>
      <c r="J541" s="26">
        <v>150.0</v>
      </c>
      <c r="K541" s="26">
        <v>0.0</v>
      </c>
    </row>
    <row r="542" ht="15.75" customHeight="1">
      <c r="B542" s="26" t="s">
        <v>693</v>
      </c>
      <c r="C542" s="26" t="s">
        <v>50</v>
      </c>
      <c r="D542" s="26" t="s">
        <v>51</v>
      </c>
      <c r="E542" s="26">
        <v>300.0</v>
      </c>
      <c r="F542" s="26">
        <v>300.0</v>
      </c>
      <c r="G542" s="26">
        <v>0.0</v>
      </c>
      <c r="H542" s="26">
        <v>0.0</v>
      </c>
      <c r="I542" s="26">
        <v>0.0</v>
      </c>
      <c r="J542" s="26">
        <v>300.0</v>
      </c>
      <c r="K542" s="26">
        <v>0.0</v>
      </c>
    </row>
    <row r="543" ht="15.75" customHeight="1">
      <c r="B543" s="26" t="s">
        <v>700</v>
      </c>
      <c r="C543" s="26" t="s">
        <v>182</v>
      </c>
      <c r="D543" s="26" t="s">
        <v>51</v>
      </c>
      <c r="E543" s="26">
        <v>300.0</v>
      </c>
      <c r="F543" s="26">
        <v>300.0</v>
      </c>
      <c r="G543" s="26">
        <v>0.0</v>
      </c>
      <c r="H543" s="26">
        <v>0.0</v>
      </c>
      <c r="I543" s="26">
        <v>0.0</v>
      </c>
      <c r="J543" s="26">
        <v>300.0</v>
      </c>
      <c r="K543" s="26">
        <v>0.0</v>
      </c>
    </row>
    <row r="544" ht="15.75" customHeight="1">
      <c r="B544" s="26" t="s">
        <v>995</v>
      </c>
      <c r="C544" s="26" t="s">
        <v>1461</v>
      </c>
      <c r="D544" s="26" t="s">
        <v>1462</v>
      </c>
      <c r="E544" s="26">
        <v>1100.0</v>
      </c>
      <c r="F544" s="26">
        <v>0.0</v>
      </c>
      <c r="G544" s="26">
        <v>1100.0</v>
      </c>
      <c r="H544" s="26">
        <v>0.0</v>
      </c>
      <c r="I544" s="26">
        <v>0.0</v>
      </c>
      <c r="J544" s="26">
        <v>1100.0</v>
      </c>
      <c r="K544" s="26">
        <v>0.0</v>
      </c>
    </row>
    <row r="545" ht="15.75" customHeight="1">
      <c r="B545" s="26" t="s">
        <v>1275</v>
      </c>
      <c r="C545" s="26" t="s">
        <v>191</v>
      </c>
      <c r="D545" s="26" t="s">
        <v>248</v>
      </c>
      <c r="E545" s="26">
        <v>50.0</v>
      </c>
      <c r="F545" s="26">
        <v>0.0</v>
      </c>
      <c r="G545" s="26">
        <v>50.0</v>
      </c>
      <c r="H545" s="26">
        <v>0.0</v>
      </c>
      <c r="I545" s="26">
        <v>0.0</v>
      </c>
      <c r="J545" s="26">
        <v>50.0</v>
      </c>
      <c r="K545" s="26">
        <v>0.0</v>
      </c>
    </row>
    <row r="546" ht="15.75" customHeight="1">
      <c r="E546" s="28">
        <f t="shared" ref="E546:G546" si="64">SUM(E541:E545)</f>
        <v>1900</v>
      </c>
      <c r="F546" s="28">
        <f t="shared" si="64"/>
        <v>600</v>
      </c>
      <c r="G546" s="28">
        <f t="shared" si="64"/>
        <v>1300</v>
      </c>
      <c r="H546" s="26">
        <v>0.0</v>
      </c>
      <c r="I546" s="26">
        <v>0.0</v>
      </c>
      <c r="J546" s="26">
        <v>1900.0</v>
      </c>
      <c r="K546" s="26">
        <v>0.0</v>
      </c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</row>
    <row r="548" ht="15.75" customHeight="1">
      <c r="A548" s="32">
        <v>45995.0</v>
      </c>
      <c r="B548" s="26" t="s">
        <v>1387</v>
      </c>
      <c r="C548" s="26" t="s">
        <v>1463</v>
      </c>
      <c r="D548" s="26" t="s">
        <v>1464</v>
      </c>
      <c r="E548" s="26">
        <v>900.0</v>
      </c>
      <c r="F548" s="26">
        <v>0.0</v>
      </c>
      <c r="G548" s="26">
        <v>0.0</v>
      </c>
      <c r="H548" s="26">
        <v>900.0</v>
      </c>
    </row>
    <row r="549" ht="15.75" customHeight="1">
      <c r="C549" s="26" t="s">
        <v>1465</v>
      </c>
      <c r="D549" s="26" t="s">
        <v>627</v>
      </c>
      <c r="E549" s="26">
        <v>600.0</v>
      </c>
      <c r="F549" s="26">
        <v>0.0</v>
      </c>
      <c r="G549" s="26">
        <v>600.0</v>
      </c>
      <c r="H549" s="26">
        <v>0.0</v>
      </c>
    </row>
    <row r="550" ht="15.75" customHeight="1">
      <c r="E550" s="28">
        <f t="shared" ref="E550:H550" si="65">SUM(E548:E549)</f>
        <v>1500</v>
      </c>
      <c r="F550" s="28">
        <f t="shared" si="65"/>
        <v>0</v>
      </c>
      <c r="G550" s="28">
        <f t="shared" si="65"/>
        <v>600</v>
      </c>
      <c r="H550" s="28">
        <f t="shared" si="65"/>
        <v>900</v>
      </c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</row>
    <row r="552" ht="15.75" customHeight="1">
      <c r="A552" s="32">
        <v>46000.0</v>
      </c>
      <c r="B552" s="26" t="s">
        <v>1328</v>
      </c>
      <c r="C552" s="26" t="s">
        <v>1466</v>
      </c>
      <c r="D552" s="26" t="s">
        <v>448</v>
      </c>
      <c r="E552" s="26">
        <v>250.0</v>
      </c>
      <c r="F552" s="26">
        <v>250.0</v>
      </c>
      <c r="G552" s="26">
        <v>0.0</v>
      </c>
      <c r="H552" s="26">
        <v>0.0</v>
      </c>
      <c r="I552" s="26">
        <v>0.0</v>
      </c>
    </row>
    <row r="553" ht="15.75" customHeight="1">
      <c r="B553" s="26" t="s">
        <v>995</v>
      </c>
      <c r="C553" s="26" t="s">
        <v>1467</v>
      </c>
      <c r="D553" s="26" t="s">
        <v>1468</v>
      </c>
      <c r="E553" s="26">
        <v>250.0</v>
      </c>
      <c r="F553" s="26">
        <v>0.0</v>
      </c>
      <c r="G553" s="26">
        <v>250.0</v>
      </c>
      <c r="H553" s="26">
        <v>0.0</v>
      </c>
      <c r="I553" s="26">
        <v>0.0</v>
      </c>
    </row>
    <row r="554" ht="15.75" customHeight="1">
      <c r="B554" s="26" t="s">
        <v>309</v>
      </c>
      <c r="C554" s="26" t="s">
        <v>1469</v>
      </c>
      <c r="D554" s="26" t="s">
        <v>144</v>
      </c>
      <c r="E554" s="26">
        <v>50.0</v>
      </c>
      <c r="F554" s="26">
        <v>50.0</v>
      </c>
      <c r="G554" s="26"/>
      <c r="H554" s="26"/>
      <c r="I554" s="26"/>
    </row>
    <row r="555" ht="15.75" customHeight="1">
      <c r="E555" s="28">
        <f>SUM(E552:E554)</f>
        <v>550</v>
      </c>
      <c r="F555" s="26">
        <v>0.0</v>
      </c>
      <c r="G555" s="26">
        <v>0.0</v>
      </c>
      <c r="H555" s="26">
        <v>0.0</v>
      </c>
      <c r="I555" s="26">
        <v>0.0</v>
      </c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</row>
    <row r="557" ht="15.75" customHeight="1">
      <c r="A557" s="46">
        <v>46001.0</v>
      </c>
      <c r="B557" s="26" t="s">
        <v>1470</v>
      </c>
      <c r="C557" s="26" t="s">
        <v>1471</v>
      </c>
      <c r="D557" s="26" t="s">
        <v>296</v>
      </c>
      <c r="E557" s="26">
        <v>600.0</v>
      </c>
      <c r="F557" s="26">
        <v>0.0</v>
      </c>
      <c r="G557" s="26">
        <v>600.0</v>
      </c>
      <c r="H557" s="26">
        <v>0.0</v>
      </c>
      <c r="I557" s="26">
        <v>0.0</v>
      </c>
      <c r="J557" s="26">
        <v>600.0</v>
      </c>
      <c r="K557" s="26">
        <v>0.0</v>
      </c>
    </row>
    <row r="558" ht="15.75" customHeight="1">
      <c r="B558" s="26" t="s">
        <v>1472</v>
      </c>
      <c r="C558" s="26" t="s">
        <v>1473</v>
      </c>
      <c r="E558" s="26">
        <v>475.0</v>
      </c>
      <c r="F558" s="26">
        <v>0.0</v>
      </c>
      <c r="G558" s="26">
        <v>475.0</v>
      </c>
      <c r="H558" s="26">
        <v>0.0</v>
      </c>
      <c r="I558" s="26">
        <v>0.0</v>
      </c>
      <c r="J558" s="26">
        <v>475.0</v>
      </c>
      <c r="K558" s="26">
        <v>0.0</v>
      </c>
    </row>
    <row r="559" ht="15.75" customHeight="1">
      <c r="B559" s="26" t="s">
        <v>732</v>
      </c>
      <c r="C559" s="26" t="s">
        <v>1474</v>
      </c>
      <c r="D559" s="26" t="s">
        <v>1475</v>
      </c>
      <c r="E559" s="26">
        <v>700.0</v>
      </c>
      <c r="F559" s="26">
        <v>700.0</v>
      </c>
      <c r="G559" s="26">
        <v>0.0</v>
      </c>
      <c r="H559" s="26">
        <v>0.0</v>
      </c>
      <c r="I559" s="26">
        <v>0.0</v>
      </c>
      <c r="J559" s="26">
        <v>700.0</v>
      </c>
      <c r="K559" s="26">
        <v>0.0</v>
      </c>
    </row>
    <row r="560" ht="15.75" customHeight="1">
      <c r="B560" s="26" t="s">
        <v>1041</v>
      </c>
      <c r="C560" s="26" t="s">
        <v>1476</v>
      </c>
      <c r="D560" s="26" t="s">
        <v>270</v>
      </c>
      <c r="E560" s="26">
        <v>250.0</v>
      </c>
      <c r="F560" s="26">
        <v>0.0</v>
      </c>
      <c r="G560" s="26">
        <v>250.0</v>
      </c>
      <c r="H560" s="26">
        <v>0.0</v>
      </c>
      <c r="I560" s="26">
        <v>0.0</v>
      </c>
      <c r="J560" s="26">
        <v>250.0</v>
      </c>
      <c r="K560" s="26">
        <v>0.0</v>
      </c>
    </row>
    <row r="561" ht="15.75" customHeight="1">
      <c r="B561" s="26" t="s">
        <v>1477</v>
      </c>
      <c r="C561" s="26" t="s">
        <v>1441</v>
      </c>
      <c r="D561" s="26" t="s">
        <v>548</v>
      </c>
      <c r="E561" s="26">
        <v>420.0</v>
      </c>
      <c r="F561" s="26">
        <v>420.0</v>
      </c>
      <c r="G561" s="26">
        <v>0.0</v>
      </c>
      <c r="H561" s="26">
        <v>0.0</v>
      </c>
      <c r="I561" s="26">
        <v>0.0</v>
      </c>
      <c r="J561" s="26">
        <v>420.0</v>
      </c>
      <c r="K561" s="26">
        <v>0.0</v>
      </c>
    </row>
    <row r="562" ht="15.75" customHeight="1">
      <c r="B562" s="26" t="s">
        <v>622</v>
      </c>
      <c r="C562" s="26" t="s">
        <v>1478</v>
      </c>
      <c r="D562" s="26" t="s">
        <v>1479</v>
      </c>
      <c r="E562" s="26">
        <v>350.0</v>
      </c>
      <c r="F562" s="26">
        <v>0.0</v>
      </c>
      <c r="G562" s="26">
        <v>350.0</v>
      </c>
      <c r="H562" s="26">
        <v>0.0</v>
      </c>
      <c r="I562" s="26">
        <v>0.0</v>
      </c>
      <c r="J562" s="26">
        <v>350.0</v>
      </c>
      <c r="K562" s="26">
        <v>0.0</v>
      </c>
    </row>
    <row r="563" ht="15.75" customHeight="1">
      <c r="E563" s="28">
        <f t="shared" ref="E563:G563" si="66">SUM(E557:E562)</f>
        <v>2795</v>
      </c>
      <c r="F563" s="28">
        <f t="shared" si="66"/>
        <v>1120</v>
      </c>
      <c r="G563" s="28">
        <f t="shared" si="66"/>
        <v>1675</v>
      </c>
      <c r="H563" s="26">
        <v>0.0</v>
      </c>
      <c r="I563" s="26">
        <v>0.0</v>
      </c>
      <c r="J563" s="28">
        <f>SUM(J557:J562)</f>
        <v>2795</v>
      </c>
      <c r="K563" s="26">
        <v>0.0</v>
      </c>
      <c r="L563" s="26" t="s">
        <v>1480</v>
      </c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</row>
    <row r="565" ht="15.75" customHeight="1">
      <c r="A565" s="46">
        <v>46002.0</v>
      </c>
      <c r="B565" s="26" t="s">
        <v>662</v>
      </c>
      <c r="C565" s="26" t="s">
        <v>1481</v>
      </c>
      <c r="D565" s="26" t="s">
        <v>51</v>
      </c>
      <c r="E565" s="26">
        <v>300.0</v>
      </c>
      <c r="F565" s="26">
        <v>300.0</v>
      </c>
      <c r="G565" s="26">
        <v>0.0</v>
      </c>
      <c r="H565" s="26">
        <v>0.0</v>
      </c>
      <c r="I565" s="26">
        <v>0.0</v>
      </c>
      <c r="J565" s="26">
        <v>300.0</v>
      </c>
      <c r="K565" s="26">
        <v>0.0</v>
      </c>
    </row>
    <row r="566" ht="15.75" customHeight="1">
      <c r="B566" s="26" t="s">
        <v>1482</v>
      </c>
      <c r="C566" s="26" t="s">
        <v>1483</v>
      </c>
      <c r="D566" s="26" t="s">
        <v>352</v>
      </c>
      <c r="E566" s="26">
        <v>500.0</v>
      </c>
      <c r="F566" s="26">
        <v>500.0</v>
      </c>
      <c r="G566" s="26">
        <v>0.0</v>
      </c>
      <c r="H566" s="26">
        <v>0.0</v>
      </c>
      <c r="I566" s="26">
        <v>0.0</v>
      </c>
      <c r="J566" s="26">
        <v>500.0</v>
      </c>
      <c r="K566" s="26">
        <v>0.0</v>
      </c>
    </row>
    <row r="567" ht="15.75" customHeight="1">
      <c r="B567" s="26" t="s">
        <v>542</v>
      </c>
      <c r="C567" s="26" t="s">
        <v>1484</v>
      </c>
      <c r="D567" s="26" t="s">
        <v>1485</v>
      </c>
      <c r="E567" s="26">
        <v>300.0</v>
      </c>
      <c r="F567" s="26">
        <v>0.0</v>
      </c>
      <c r="G567" s="26">
        <v>300.0</v>
      </c>
      <c r="H567" s="26">
        <v>0.0</v>
      </c>
      <c r="I567" s="26">
        <v>0.0</v>
      </c>
      <c r="J567" s="26">
        <v>300.0</v>
      </c>
      <c r="K567" s="26">
        <v>0.0</v>
      </c>
    </row>
    <row r="568" ht="15.75" customHeight="1">
      <c r="B568" s="26" t="s">
        <v>1486</v>
      </c>
      <c r="C568" s="26" t="s">
        <v>1487</v>
      </c>
      <c r="D568" s="26" t="s">
        <v>853</v>
      </c>
      <c r="E568" s="26">
        <v>600.0</v>
      </c>
      <c r="F568" s="26">
        <v>0.0</v>
      </c>
      <c r="G568" s="26">
        <v>600.0</v>
      </c>
      <c r="H568" s="26">
        <v>0.0</v>
      </c>
      <c r="I568" s="26">
        <v>0.0</v>
      </c>
      <c r="J568" s="26">
        <v>600.0</v>
      </c>
      <c r="K568" s="26">
        <v>0.0</v>
      </c>
    </row>
    <row r="569" ht="15.75" customHeight="1">
      <c r="B569" s="26" t="s">
        <v>1488</v>
      </c>
      <c r="C569" s="26" t="s">
        <v>1489</v>
      </c>
      <c r="D569" s="26" t="s">
        <v>1054</v>
      </c>
      <c r="E569" s="26">
        <v>450.0</v>
      </c>
      <c r="F569" s="26">
        <v>0.0</v>
      </c>
      <c r="G569" s="26">
        <v>450.0</v>
      </c>
      <c r="H569" s="26">
        <v>0.0</v>
      </c>
      <c r="I569" s="26">
        <v>0.0</v>
      </c>
      <c r="J569" s="26">
        <v>450.0</v>
      </c>
      <c r="K569" s="26">
        <v>0.0</v>
      </c>
    </row>
    <row r="570" ht="15.75" customHeight="1">
      <c r="B570" s="26" t="s">
        <v>1490</v>
      </c>
      <c r="C570" s="26" t="s">
        <v>1491</v>
      </c>
      <c r="D570" s="26" t="s">
        <v>1492</v>
      </c>
      <c r="E570" s="26">
        <v>350.0</v>
      </c>
      <c r="F570" s="26">
        <v>350.0</v>
      </c>
      <c r="G570" s="26">
        <v>0.0</v>
      </c>
      <c r="H570" s="26"/>
      <c r="I570" s="26"/>
      <c r="J570" s="26"/>
      <c r="K570" s="26"/>
    </row>
    <row r="571" ht="15.75" customHeight="1">
      <c r="E571" s="28">
        <f t="shared" ref="E571:G571" si="67">SUM(E565:E570)</f>
        <v>2500</v>
      </c>
      <c r="F571" s="28">
        <f t="shared" si="67"/>
        <v>1150</v>
      </c>
      <c r="G571" s="28">
        <f t="shared" si="67"/>
        <v>1350</v>
      </c>
      <c r="H571" s="28">
        <f>SUM(H565:H569)</f>
        <v>0</v>
      </c>
      <c r="I571" s="26">
        <v>0.0</v>
      </c>
      <c r="J571" s="28">
        <f>SUM(J565:J569)</f>
        <v>2150</v>
      </c>
      <c r="K571" s="26">
        <v>0.0</v>
      </c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</row>
    <row r="573" ht="15.75" customHeight="1">
      <c r="A573" s="46">
        <v>46006.0</v>
      </c>
      <c r="B573" s="26" t="s">
        <v>826</v>
      </c>
    </row>
    <row r="574" ht="15.75" customHeight="1">
      <c r="B574" s="26" t="s">
        <v>403</v>
      </c>
      <c r="C574" s="26" t="s">
        <v>1493</v>
      </c>
      <c r="D574" s="26" t="s">
        <v>1086</v>
      </c>
      <c r="E574" s="26">
        <v>700.0</v>
      </c>
      <c r="F574" s="26">
        <v>0.0</v>
      </c>
      <c r="G574" s="26">
        <v>700.0</v>
      </c>
      <c r="H574" s="26">
        <v>0.0</v>
      </c>
      <c r="I574" s="26">
        <v>0.0</v>
      </c>
      <c r="J574" s="26">
        <v>700.0</v>
      </c>
      <c r="K574" s="26">
        <v>0.0</v>
      </c>
    </row>
    <row r="575" ht="15.75" customHeight="1">
      <c r="B575" s="26" t="s">
        <v>1397</v>
      </c>
      <c r="C575" s="26" t="s">
        <v>1494</v>
      </c>
      <c r="D575" s="26" t="s">
        <v>337</v>
      </c>
      <c r="E575" s="26">
        <v>200.0</v>
      </c>
      <c r="F575" s="26">
        <v>200.0</v>
      </c>
      <c r="G575" s="26">
        <v>0.0</v>
      </c>
      <c r="H575" s="26">
        <v>0.0</v>
      </c>
      <c r="I575" s="26">
        <v>0.0</v>
      </c>
      <c r="J575" s="26">
        <v>200.0</v>
      </c>
      <c r="K575" s="26">
        <v>0.0</v>
      </c>
    </row>
    <row r="576" ht="15.75" customHeight="1"/>
    <row r="577" ht="15.75" customHeight="1">
      <c r="B577" s="26" t="s">
        <v>1347</v>
      </c>
      <c r="C577" s="26" t="s">
        <v>1495</v>
      </c>
      <c r="D577" s="26" t="s">
        <v>1496</v>
      </c>
      <c r="E577" s="26">
        <v>600.0</v>
      </c>
      <c r="F577" s="26">
        <v>0.0</v>
      </c>
      <c r="G577" s="26">
        <v>600.0</v>
      </c>
      <c r="H577" s="26">
        <v>0.0</v>
      </c>
      <c r="I577" s="26">
        <v>0.0</v>
      </c>
      <c r="J577" s="26">
        <v>600.0</v>
      </c>
      <c r="K577" s="26">
        <v>0.0</v>
      </c>
    </row>
    <row r="578" ht="15.75" customHeight="1">
      <c r="E578" s="28">
        <f t="shared" ref="E578:G578" si="68">SUM(E574:E577)</f>
        <v>1500</v>
      </c>
      <c r="F578" s="28">
        <f t="shared" si="68"/>
        <v>200</v>
      </c>
      <c r="G578" s="28">
        <f t="shared" si="68"/>
        <v>1300</v>
      </c>
      <c r="H578" s="26">
        <v>0.0</v>
      </c>
      <c r="I578" s="26">
        <v>0.0</v>
      </c>
      <c r="J578" s="28">
        <f>SUM(J574:J577)</f>
        <v>1500</v>
      </c>
      <c r="K578" s="26">
        <v>0.0</v>
      </c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4" t="s">
        <v>1497</v>
      </c>
    </row>
    <row r="580" ht="15.75" customHeight="1">
      <c r="A580" s="46">
        <v>46007.0</v>
      </c>
      <c r="B580" s="26" t="s">
        <v>963</v>
      </c>
      <c r="C580" s="26" t="s">
        <v>1498</v>
      </c>
      <c r="D580" s="26" t="s">
        <v>1499</v>
      </c>
      <c r="E580" s="26">
        <v>750.0</v>
      </c>
      <c r="F580" s="26">
        <v>0.0</v>
      </c>
      <c r="G580" s="26">
        <v>750.0</v>
      </c>
      <c r="H580" s="26">
        <v>0.0</v>
      </c>
      <c r="I580" s="26">
        <v>0.0</v>
      </c>
      <c r="J580" s="26">
        <v>750.0</v>
      </c>
      <c r="K580" s="26">
        <v>0.0</v>
      </c>
    </row>
    <row r="581" ht="15.75" customHeight="1">
      <c r="B581" s="26" t="s">
        <v>213</v>
      </c>
      <c r="C581" s="26" t="s">
        <v>1500</v>
      </c>
      <c r="D581" s="26" t="s">
        <v>1501</v>
      </c>
      <c r="E581" s="26">
        <v>750.0</v>
      </c>
      <c r="F581" s="26">
        <v>750.0</v>
      </c>
      <c r="G581" s="26">
        <v>0.0</v>
      </c>
      <c r="H581" s="26">
        <v>0.0</v>
      </c>
      <c r="I581" s="26">
        <v>0.0</v>
      </c>
      <c r="J581" s="26">
        <v>750.0</v>
      </c>
      <c r="K581" s="26">
        <v>0.0</v>
      </c>
    </row>
    <row r="582" ht="15.75" customHeight="1">
      <c r="B582" s="26" t="s">
        <v>1502</v>
      </c>
      <c r="C582" s="26" t="s">
        <v>1503</v>
      </c>
      <c r="D582" s="26" t="s">
        <v>1504</v>
      </c>
      <c r="E582" s="26">
        <v>450.0</v>
      </c>
      <c r="F582" s="26">
        <v>0.0</v>
      </c>
      <c r="G582" s="26">
        <v>450.0</v>
      </c>
      <c r="H582" s="26">
        <v>0.0</v>
      </c>
      <c r="I582" s="26">
        <v>0.0</v>
      </c>
      <c r="J582" s="26">
        <v>450.0</v>
      </c>
      <c r="K582" s="26">
        <v>0.0</v>
      </c>
    </row>
    <row r="583" ht="15.75" customHeight="1">
      <c r="B583" s="26" t="s">
        <v>1387</v>
      </c>
      <c r="C583" s="26" t="s">
        <v>1505</v>
      </c>
      <c r="D583" s="26" t="s">
        <v>1506</v>
      </c>
      <c r="E583" s="26">
        <v>100.0</v>
      </c>
      <c r="F583" s="26">
        <v>0.0</v>
      </c>
      <c r="G583" s="26">
        <v>100.0</v>
      </c>
      <c r="H583" s="26">
        <v>0.0</v>
      </c>
      <c r="I583" s="26">
        <v>0.0</v>
      </c>
      <c r="J583" s="26">
        <v>100.0</v>
      </c>
      <c r="K583" s="26">
        <v>0.0</v>
      </c>
    </row>
    <row r="584" ht="15.75" customHeight="1">
      <c r="E584" s="28">
        <f t="shared" ref="E584:G584" si="69">SUM(E580:E583)</f>
        <v>2050</v>
      </c>
      <c r="F584" s="28">
        <f t="shared" si="69"/>
        <v>750</v>
      </c>
      <c r="G584" s="28">
        <f t="shared" si="69"/>
        <v>1300</v>
      </c>
      <c r="H584" s="26">
        <v>0.0</v>
      </c>
      <c r="I584" s="26">
        <v>0.0</v>
      </c>
      <c r="J584" s="28">
        <f>SUM(J580:J583)</f>
        <v>2050</v>
      </c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</row>
    <row r="586" ht="15.75" customHeight="1">
      <c r="A586" s="46">
        <v>46008.0</v>
      </c>
      <c r="B586" s="26" t="s">
        <v>1486</v>
      </c>
      <c r="C586" s="26" t="s">
        <v>1507</v>
      </c>
      <c r="D586" s="26" t="s">
        <v>391</v>
      </c>
      <c r="E586" s="26">
        <v>800.0</v>
      </c>
      <c r="F586" s="26">
        <v>0.0</v>
      </c>
      <c r="G586" s="26">
        <v>800.0</v>
      </c>
      <c r="H586" s="26">
        <v>0.0</v>
      </c>
      <c r="I586" s="26">
        <v>0.0</v>
      </c>
      <c r="J586" s="26">
        <v>800.0</v>
      </c>
      <c r="K586" s="26">
        <v>0.0</v>
      </c>
    </row>
    <row r="587" ht="15.75" customHeight="1">
      <c r="B587" s="26" t="s">
        <v>1508</v>
      </c>
      <c r="C587" s="26" t="s">
        <v>1509</v>
      </c>
      <c r="D587" s="26" t="s">
        <v>934</v>
      </c>
      <c r="E587" s="26">
        <v>450.0</v>
      </c>
      <c r="F587" s="26">
        <v>450.0</v>
      </c>
      <c r="G587" s="26">
        <v>0.0</v>
      </c>
      <c r="H587" s="26">
        <v>0.0</v>
      </c>
      <c r="I587" s="26">
        <v>0.0</v>
      </c>
      <c r="J587" s="26">
        <v>450.0</v>
      </c>
      <c r="K587" s="26">
        <v>0.0</v>
      </c>
    </row>
    <row r="588" ht="15.75" customHeight="1">
      <c r="E588" s="28">
        <f>SUM(E586:E587)</f>
        <v>1250</v>
      </c>
      <c r="F588" s="26">
        <v>450.0</v>
      </c>
      <c r="G588" s="26">
        <v>800.0</v>
      </c>
      <c r="H588" s="26">
        <v>0.0</v>
      </c>
      <c r="I588" s="26">
        <v>0.0</v>
      </c>
      <c r="J588" s="26">
        <v>1250.0</v>
      </c>
      <c r="K588" s="26">
        <v>0.0</v>
      </c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4"/>
    </row>
    <row r="590" ht="15.75" customHeight="1">
      <c r="A590" s="46">
        <v>46009.0</v>
      </c>
      <c r="B590" s="26" t="s">
        <v>199</v>
      </c>
      <c r="C590" s="26" t="s">
        <v>1510</v>
      </c>
      <c r="D590" s="26" t="s">
        <v>1511</v>
      </c>
      <c r="E590" s="26">
        <v>720.0</v>
      </c>
      <c r="F590" s="26">
        <v>720.0</v>
      </c>
      <c r="G590" s="26">
        <v>0.0</v>
      </c>
      <c r="H590" s="26">
        <v>0.0</v>
      </c>
      <c r="I590" s="26">
        <v>0.0</v>
      </c>
      <c r="J590" s="26">
        <v>720.0</v>
      </c>
      <c r="K590" s="26">
        <v>0.0</v>
      </c>
    </row>
    <row r="591" ht="15.75" customHeight="1">
      <c r="B591" s="26" t="s">
        <v>1512</v>
      </c>
      <c r="C591" s="26" t="s">
        <v>1513</v>
      </c>
      <c r="D591" s="26" t="s">
        <v>1514</v>
      </c>
      <c r="E591" s="26">
        <v>475.0</v>
      </c>
      <c r="F591" s="26">
        <v>200.0</v>
      </c>
      <c r="G591" s="26">
        <v>275.0</v>
      </c>
      <c r="H591" s="26">
        <v>0.0</v>
      </c>
      <c r="I591" s="26">
        <v>0.0</v>
      </c>
      <c r="J591" s="26">
        <v>200.0</v>
      </c>
      <c r="K591" s="26">
        <v>0.0</v>
      </c>
    </row>
    <row r="592" ht="15.75" customHeight="1">
      <c r="B592" s="26" t="s">
        <v>145</v>
      </c>
      <c r="C592" s="26" t="s">
        <v>1515</v>
      </c>
      <c r="D592" s="26" t="s">
        <v>337</v>
      </c>
      <c r="E592" s="26">
        <v>200.0</v>
      </c>
      <c r="F592" s="26">
        <v>200.0</v>
      </c>
      <c r="G592" s="26">
        <v>0.0</v>
      </c>
      <c r="H592" s="26">
        <v>0.0</v>
      </c>
      <c r="I592" s="26">
        <v>0.0</v>
      </c>
      <c r="J592" s="26">
        <v>200.0</v>
      </c>
      <c r="K592" s="26">
        <v>0.0</v>
      </c>
    </row>
    <row r="593" ht="15.75" customHeight="1">
      <c r="B593" s="48"/>
      <c r="E593" s="28">
        <f t="shared" ref="E593:F593" si="70">SUM(E590:E592)</f>
        <v>1395</v>
      </c>
      <c r="F593" s="28">
        <f t="shared" si="70"/>
        <v>1120</v>
      </c>
      <c r="G593" s="26">
        <v>275.0</v>
      </c>
      <c r="H593" s="26">
        <v>0.0</v>
      </c>
      <c r="I593" s="26">
        <v>0.0</v>
      </c>
      <c r="J593" s="26">
        <v>0.0</v>
      </c>
      <c r="K593" s="28">
        <f>SUM(K590:K592)</f>
        <v>0</v>
      </c>
    </row>
    <row r="594" ht="15.75" customHeight="1">
      <c r="F594" s="26" t="s">
        <v>1516</v>
      </c>
      <c r="K594" s="26">
        <v>1820.0</v>
      </c>
    </row>
    <row r="595" ht="15.75" customHeight="1">
      <c r="A595" s="33"/>
      <c r="B595" s="33"/>
      <c r="C595" s="33"/>
      <c r="D595" s="33"/>
      <c r="E595" s="33"/>
      <c r="F595" s="34">
        <v>690.0</v>
      </c>
      <c r="G595" s="33"/>
      <c r="H595" s="33"/>
      <c r="I595" s="33"/>
      <c r="J595" s="33"/>
      <c r="K595" s="33"/>
    </row>
    <row r="596" ht="15.75" customHeight="1">
      <c r="A596" s="46">
        <v>46013.0</v>
      </c>
      <c r="B596" s="26" t="s">
        <v>990</v>
      </c>
      <c r="C596" s="26" t="s">
        <v>1517</v>
      </c>
      <c r="D596" s="26" t="s">
        <v>1518</v>
      </c>
      <c r="E596" s="26">
        <v>600.0</v>
      </c>
      <c r="F596" s="26">
        <v>600.0</v>
      </c>
      <c r="G596" s="26">
        <v>0.0</v>
      </c>
      <c r="H596" s="26">
        <v>0.0</v>
      </c>
      <c r="I596" s="26">
        <v>0.0</v>
      </c>
      <c r="J596" s="26">
        <v>750.0</v>
      </c>
      <c r="K596" s="26">
        <v>0.0</v>
      </c>
    </row>
    <row r="597" ht="15.75" customHeight="1">
      <c r="B597" s="26" t="s">
        <v>995</v>
      </c>
      <c r="C597" s="26" t="s">
        <v>1519</v>
      </c>
      <c r="D597" s="26" t="s">
        <v>1520</v>
      </c>
      <c r="E597" s="26">
        <v>750.0</v>
      </c>
      <c r="F597" s="26">
        <v>0.0</v>
      </c>
      <c r="G597" s="26">
        <v>750.0</v>
      </c>
      <c r="H597" s="26">
        <v>0.0</v>
      </c>
      <c r="I597" s="26">
        <v>0.0</v>
      </c>
      <c r="J597" s="26">
        <v>750.0</v>
      </c>
      <c r="K597" s="26">
        <v>0.0</v>
      </c>
    </row>
    <row r="598" ht="15.75" customHeight="1">
      <c r="B598" s="26" t="s">
        <v>1472</v>
      </c>
      <c r="C598" s="26" t="s">
        <v>1521</v>
      </c>
      <c r="D598" s="26" t="s">
        <v>1056</v>
      </c>
      <c r="E598" s="26">
        <v>475.0</v>
      </c>
      <c r="F598" s="26">
        <v>0.0</v>
      </c>
      <c r="G598" s="26">
        <v>425.0</v>
      </c>
      <c r="H598" s="26">
        <v>0.0</v>
      </c>
      <c r="I598" s="26">
        <v>0.0</v>
      </c>
      <c r="J598" s="26">
        <v>475.0</v>
      </c>
      <c r="K598" s="26">
        <v>0.0</v>
      </c>
    </row>
    <row r="599" ht="15.75" customHeight="1">
      <c r="B599" s="26" t="s">
        <v>1522</v>
      </c>
      <c r="C599" s="26" t="s">
        <v>1523</v>
      </c>
      <c r="D599" s="26" t="s">
        <v>1524</v>
      </c>
      <c r="E599" s="26">
        <v>330.0</v>
      </c>
      <c r="F599" s="26">
        <v>0.0</v>
      </c>
      <c r="G599" s="26">
        <v>330.0</v>
      </c>
      <c r="H599" s="26">
        <v>0.0</v>
      </c>
      <c r="I599" s="26">
        <v>0.0</v>
      </c>
      <c r="J599" s="26">
        <v>330.0</v>
      </c>
      <c r="K599" s="26">
        <v>0.0</v>
      </c>
    </row>
    <row r="600" ht="15.75" customHeight="1">
      <c r="B600" s="26" t="s">
        <v>1477</v>
      </c>
      <c r="C600" s="26" t="s">
        <v>1525</v>
      </c>
      <c r="D600" s="26" t="s">
        <v>1526</v>
      </c>
      <c r="E600" s="26">
        <v>250.0</v>
      </c>
      <c r="F600" s="26">
        <v>250.0</v>
      </c>
      <c r="G600" s="26">
        <v>0.0</v>
      </c>
      <c r="H600" s="26">
        <v>0.0</v>
      </c>
      <c r="I600" s="26">
        <v>0.0</v>
      </c>
      <c r="J600" s="26">
        <v>250.0</v>
      </c>
      <c r="K600" s="26">
        <v>0.0</v>
      </c>
    </row>
    <row r="601" ht="15.75" customHeight="1">
      <c r="B601" s="26" t="s">
        <v>403</v>
      </c>
      <c r="C601" s="26" t="s">
        <v>1527</v>
      </c>
      <c r="E601" s="26">
        <v>100.0</v>
      </c>
      <c r="F601" s="26">
        <v>0.0</v>
      </c>
      <c r="G601" s="26">
        <v>100.0</v>
      </c>
      <c r="H601" s="26">
        <v>0.0</v>
      </c>
      <c r="I601" s="26">
        <v>0.0</v>
      </c>
      <c r="J601" s="26">
        <v>100.0</v>
      </c>
      <c r="K601" s="26">
        <v>0.0</v>
      </c>
    </row>
    <row r="602" ht="15.75" customHeight="1">
      <c r="E602" s="28">
        <f t="shared" ref="E602:G602" si="71">SUM(E596:E601)</f>
        <v>2505</v>
      </c>
      <c r="F602" s="28">
        <f t="shared" si="71"/>
        <v>850</v>
      </c>
      <c r="G602" s="28">
        <f t="shared" si="71"/>
        <v>1605</v>
      </c>
      <c r="H602" s="26">
        <v>0.0</v>
      </c>
      <c r="I602" s="26">
        <v>0.0</v>
      </c>
      <c r="J602" s="28">
        <f>SUM(J596:J601)</f>
        <v>2655</v>
      </c>
      <c r="K602" s="26">
        <v>0.0</v>
      </c>
    </row>
    <row r="603" ht="15.75" customHeight="1">
      <c r="K603" s="26" t="s">
        <v>1528</v>
      </c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</row>
    <row r="605" ht="15.75" customHeight="1">
      <c r="A605" s="46">
        <v>46014.0</v>
      </c>
      <c r="B605" s="26" t="s">
        <v>1148</v>
      </c>
      <c r="C605" s="26" t="s">
        <v>1529</v>
      </c>
      <c r="D605" s="26" t="s">
        <v>51</v>
      </c>
      <c r="E605" s="26">
        <v>320.0</v>
      </c>
      <c r="F605" s="26">
        <v>320.0</v>
      </c>
      <c r="G605" s="26">
        <v>0.0</v>
      </c>
      <c r="H605" s="26">
        <v>0.0</v>
      </c>
      <c r="I605" s="26">
        <v>0.0</v>
      </c>
      <c r="J605" s="26">
        <v>0.0</v>
      </c>
      <c r="K605" s="26">
        <v>0.0</v>
      </c>
    </row>
    <row r="606" ht="15.75" customHeight="1">
      <c r="B606" s="26" t="s">
        <v>484</v>
      </c>
      <c r="C606" s="26" t="s">
        <v>340</v>
      </c>
      <c r="D606" s="26" t="s">
        <v>563</v>
      </c>
      <c r="E606" s="26">
        <v>350.0</v>
      </c>
      <c r="F606" s="26">
        <v>0.0</v>
      </c>
      <c r="G606" s="26">
        <v>350.0</v>
      </c>
      <c r="H606" s="26">
        <v>0.0</v>
      </c>
      <c r="I606" s="26">
        <v>0.0</v>
      </c>
      <c r="J606" s="26">
        <v>350.0</v>
      </c>
      <c r="K606" s="26">
        <v>0.0</v>
      </c>
    </row>
    <row r="607" ht="15.75" customHeight="1">
      <c r="B607" s="26" t="s">
        <v>1530</v>
      </c>
      <c r="C607" s="26" t="s">
        <v>1531</v>
      </c>
      <c r="D607" s="26" t="s">
        <v>1532</v>
      </c>
      <c r="E607" s="26">
        <v>350.0</v>
      </c>
      <c r="F607" s="26">
        <v>0.0</v>
      </c>
      <c r="G607" s="26">
        <v>350.0</v>
      </c>
      <c r="H607" s="26">
        <v>0.0</v>
      </c>
      <c r="I607" s="26">
        <v>0.0</v>
      </c>
      <c r="J607" s="26">
        <v>350.0</v>
      </c>
      <c r="K607" s="26">
        <v>0.0</v>
      </c>
    </row>
    <row r="608" ht="15.75" customHeight="1">
      <c r="B608" s="26" t="s">
        <v>823</v>
      </c>
      <c r="C608" s="26" t="s">
        <v>1481</v>
      </c>
      <c r="D608" s="26" t="s">
        <v>51</v>
      </c>
      <c r="E608" s="26">
        <v>300.0</v>
      </c>
      <c r="F608" s="26">
        <v>0.0</v>
      </c>
      <c r="G608" s="26">
        <v>300.0</v>
      </c>
      <c r="H608" s="26">
        <v>0.0</v>
      </c>
      <c r="I608" s="26">
        <v>0.0</v>
      </c>
      <c r="J608" s="26">
        <v>300.0</v>
      </c>
      <c r="K608" s="26">
        <v>0.0</v>
      </c>
    </row>
    <row r="609" ht="15.75" customHeight="1">
      <c r="B609" s="26" t="s">
        <v>1533</v>
      </c>
      <c r="C609" s="26" t="s">
        <v>1534</v>
      </c>
      <c r="D609" s="26" t="s">
        <v>1296</v>
      </c>
      <c r="E609" s="26">
        <v>50.0</v>
      </c>
      <c r="F609" s="26">
        <v>50.0</v>
      </c>
      <c r="G609" s="26">
        <v>0.0</v>
      </c>
      <c r="H609" s="26">
        <v>0.0</v>
      </c>
      <c r="I609" s="26">
        <v>0.0</v>
      </c>
      <c r="J609" s="26">
        <v>0.0</v>
      </c>
      <c r="K609" s="26">
        <v>0.0</v>
      </c>
    </row>
    <row r="610" ht="15.75" customHeight="1">
      <c r="E610" s="28">
        <f t="shared" ref="E610:G610" si="72">SUM(E605:E609)</f>
        <v>1370</v>
      </c>
      <c r="F610" s="28">
        <f t="shared" si="72"/>
        <v>370</v>
      </c>
      <c r="G610" s="28">
        <f t="shared" si="72"/>
        <v>1000</v>
      </c>
      <c r="H610" s="26">
        <v>0.0</v>
      </c>
      <c r="I610" s="26">
        <v>0.0</v>
      </c>
      <c r="J610" s="28">
        <f>SUM(J605:J609)</f>
        <v>1000</v>
      </c>
      <c r="K610" s="26">
        <v>0.0</v>
      </c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</row>
    <row r="612" ht="15.75" customHeight="1">
      <c r="A612" s="46">
        <v>46015.0</v>
      </c>
      <c r="B612" s="26" t="s">
        <v>821</v>
      </c>
      <c r="C612" s="26" t="s">
        <v>1535</v>
      </c>
      <c r="D612" s="26" t="s">
        <v>291</v>
      </c>
      <c r="E612" s="26">
        <v>100.0</v>
      </c>
      <c r="F612" s="26">
        <v>100.0</v>
      </c>
      <c r="G612" s="26">
        <v>0.0</v>
      </c>
      <c r="H612" s="26">
        <v>0.0</v>
      </c>
      <c r="I612" s="26">
        <v>0.0</v>
      </c>
      <c r="J612" s="26">
        <v>100.0</v>
      </c>
      <c r="K612" s="26">
        <v>0.0</v>
      </c>
    </row>
    <row r="613" ht="15.75" customHeight="1">
      <c r="B613" s="26" t="s">
        <v>1536</v>
      </c>
      <c r="C613" s="26" t="s">
        <v>1454</v>
      </c>
      <c r="D613" s="26" t="s">
        <v>51</v>
      </c>
      <c r="E613" s="26">
        <v>300.0</v>
      </c>
      <c r="F613" s="26">
        <v>300.0</v>
      </c>
      <c r="G613" s="26">
        <v>0.0</v>
      </c>
      <c r="H613" s="26">
        <v>0.0</v>
      </c>
      <c r="I613" s="26">
        <v>0.0</v>
      </c>
      <c r="J613" s="26">
        <v>300.0</v>
      </c>
      <c r="K613" s="26">
        <v>0.0</v>
      </c>
    </row>
    <row r="614" ht="15.75" customHeight="1">
      <c r="E614" s="26">
        <v>400.0</v>
      </c>
      <c r="F614" s="26">
        <v>400.0</v>
      </c>
      <c r="G614" s="26">
        <v>0.0</v>
      </c>
      <c r="H614" s="26">
        <v>0.0</v>
      </c>
      <c r="I614" s="26">
        <v>0.0</v>
      </c>
      <c r="J614" s="26">
        <v>400.0</v>
      </c>
      <c r="K614" s="26">
        <v>0.0</v>
      </c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4" t="s">
        <v>1537</v>
      </c>
    </row>
    <row r="616" ht="15.75" customHeight="1">
      <c r="A616" s="46">
        <v>46020.0</v>
      </c>
      <c r="B616" s="26" t="s">
        <v>843</v>
      </c>
      <c r="C616" s="26" t="s">
        <v>1538</v>
      </c>
      <c r="D616" s="26" t="s">
        <v>934</v>
      </c>
      <c r="E616" s="26">
        <v>400.0</v>
      </c>
      <c r="F616" s="26">
        <v>0.0</v>
      </c>
      <c r="G616" s="26">
        <v>400.0</v>
      </c>
      <c r="H616" s="26">
        <v>0.0</v>
      </c>
      <c r="I616" s="26">
        <v>0.0</v>
      </c>
      <c r="J616" s="26">
        <v>400.0</v>
      </c>
      <c r="K616" s="26">
        <v>0.0</v>
      </c>
    </row>
    <row r="617" ht="15.75" customHeight="1">
      <c r="B617" s="26" t="s">
        <v>1539</v>
      </c>
      <c r="C617" s="26" t="s">
        <v>1540</v>
      </c>
      <c r="D617" s="26" t="s">
        <v>1541</v>
      </c>
      <c r="E617" s="26">
        <v>500.0</v>
      </c>
      <c r="F617" s="26">
        <v>0.0</v>
      </c>
      <c r="G617" s="26">
        <v>500.0</v>
      </c>
      <c r="H617" s="26">
        <v>0.0</v>
      </c>
      <c r="I617" s="26">
        <v>0.0</v>
      </c>
      <c r="J617" s="26">
        <v>500.0</v>
      </c>
      <c r="K617" s="26">
        <v>0.0</v>
      </c>
    </row>
    <row r="618" ht="15.75" customHeight="1">
      <c r="E618" s="26">
        <v>900.0</v>
      </c>
      <c r="F618" s="26">
        <v>0.0</v>
      </c>
      <c r="G618" s="26">
        <v>900.0</v>
      </c>
      <c r="J618" s="26">
        <v>900.0</v>
      </c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</row>
    <row r="621" ht="15.75" customHeight="1">
      <c r="A621" s="46">
        <v>46021.0</v>
      </c>
      <c r="B621" s="26" t="s">
        <v>1502</v>
      </c>
      <c r="C621" s="26" t="s">
        <v>1542</v>
      </c>
      <c r="D621" s="26" t="s">
        <v>337</v>
      </c>
      <c r="E621" s="26">
        <v>600.0</v>
      </c>
      <c r="F621" s="26">
        <v>0.0</v>
      </c>
      <c r="G621" s="26">
        <v>600.0</v>
      </c>
      <c r="H621" s="26">
        <v>0.0</v>
      </c>
      <c r="I621" s="26">
        <v>0.0</v>
      </c>
      <c r="J621" s="26">
        <v>600.0</v>
      </c>
      <c r="K621" s="26">
        <v>0.0</v>
      </c>
    </row>
    <row r="622" ht="15.75" customHeight="1">
      <c r="B622" s="26" t="s">
        <v>1148</v>
      </c>
      <c r="C622" s="26" t="s">
        <v>1543</v>
      </c>
      <c r="D622" s="26" t="s">
        <v>1544</v>
      </c>
      <c r="E622" s="26">
        <v>720.0</v>
      </c>
      <c r="F622" s="26">
        <v>720.0</v>
      </c>
      <c r="G622" s="26">
        <v>0.0</v>
      </c>
      <c r="H622" s="26">
        <v>0.0</v>
      </c>
      <c r="I622" s="26">
        <v>0.0</v>
      </c>
      <c r="J622" s="26">
        <v>720.0</v>
      </c>
      <c r="K622" s="26">
        <v>0.0</v>
      </c>
    </row>
    <row r="623" ht="15.75" customHeight="1">
      <c r="B623" s="26" t="s">
        <v>1512</v>
      </c>
      <c r="C623" s="26" t="s">
        <v>1545</v>
      </c>
      <c r="D623" s="26" t="s">
        <v>1546</v>
      </c>
      <c r="E623" s="26">
        <v>100.0</v>
      </c>
      <c r="F623" s="26">
        <v>100.0</v>
      </c>
      <c r="G623" s="26">
        <v>0.0</v>
      </c>
      <c r="H623" s="26">
        <v>0.0</v>
      </c>
      <c r="I623" s="26">
        <v>0.0</v>
      </c>
      <c r="J623" s="26">
        <v>100.0</v>
      </c>
      <c r="K623" s="26">
        <v>0.0</v>
      </c>
    </row>
    <row r="624" ht="15.75" customHeight="1">
      <c r="B624" s="26" t="s">
        <v>1547</v>
      </c>
      <c r="C624" s="26" t="s">
        <v>1545</v>
      </c>
      <c r="D624" s="26" t="s">
        <v>1546</v>
      </c>
      <c r="E624" s="26">
        <v>150.0</v>
      </c>
      <c r="F624" s="26">
        <v>0.0</v>
      </c>
      <c r="G624" s="26">
        <v>150.0</v>
      </c>
      <c r="H624" s="26">
        <v>0.0</v>
      </c>
      <c r="I624" s="26">
        <v>0.0</v>
      </c>
      <c r="J624" s="26">
        <v>150.0</v>
      </c>
      <c r="K624" s="26">
        <v>0.0</v>
      </c>
    </row>
    <row r="625" ht="15.75" customHeight="1">
      <c r="B625" s="26" t="s">
        <v>1548</v>
      </c>
      <c r="C625" s="26" t="s">
        <v>1549</v>
      </c>
      <c r="D625" s="26" t="s">
        <v>1550</v>
      </c>
      <c r="E625" s="26">
        <v>920.0</v>
      </c>
      <c r="F625" s="26">
        <v>600.0</v>
      </c>
      <c r="G625" s="26">
        <v>320.0</v>
      </c>
      <c r="H625" s="26">
        <v>0.0</v>
      </c>
      <c r="I625" s="26">
        <v>0.0</v>
      </c>
      <c r="J625" s="26">
        <v>920.0</v>
      </c>
      <c r="K625" s="26">
        <v>0.0</v>
      </c>
    </row>
    <row r="626" ht="15.75" customHeight="1">
      <c r="B626" s="26" t="s">
        <v>1551</v>
      </c>
      <c r="C626" s="26" t="s">
        <v>1552</v>
      </c>
      <c r="D626" s="26" t="s">
        <v>1553</v>
      </c>
      <c r="E626" s="26">
        <v>570.0</v>
      </c>
      <c r="F626" s="26">
        <v>570.0</v>
      </c>
      <c r="G626" s="26">
        <v>0.0</v>
      </c>
      <c r="H626" s="26">
        <v>0.0</v>
      </c>
      <c r="I626" s="26">
        <v>0.0</v>
      </c>
      <c r="J626" s="26">
        <v>570.0</v>
      </c>
      <c r="K626" s="26">
        <v>0.0</v>
      </c>
    </row>
    <row r="627" ht="15.75" customHeight="1">
      <c r="B627" s="26" t="s">
        <v>1554</v>
      </c>
      <c r="C627" s="26" t="s">
        <v>1555</v>
      </c>
      <c r="D627" s="26" t="s">
        <v>1556</v>
      </c>
      <c r="E627" s="26">
        <v>120.0</v>
      </c>
      <c r="F627" s="26">
        <v>120.0</v>
      </c>
      <c r="G627" s="26">
        <v>0.0</v>
      </c>
      <c r="H627" s="26">
        <v>0.0</v>
      </c>
      <c r="I627" s="26">
        <v>0.0</v>
      </c>
      <c r="J627" s="26">
        <v>120.0</v>
      </c>
      <c r="K627" s="26">
        <v>0.0</v>
      </c>
    </row>
    <row r="628" ht="15.75" customHeight="1">
      <c r="B628" s="26" t="s">
        <v>1557</v>
      </c>
      <c r="C628" s="26" t="s">
        <v>1558</v>
      </c>
      <c r="D628" s="26" t="s">
        <v>1559</v>
      </c>
      <c r="E628" s="26">
        <v>300.0</v>
      </c>
      <c r="F628" s="26">
        <v>0.0</v>
      </c>
      <c r="G628" s="26">
        <v>300.0</v>
      </c>
      <c r="H628" s="26">
        <v>0.0</v>
      </c>
      <c r="I628" s="26">
        <v>0.0</v>
      </c>
      <c r="J628" s="26">
        <v>300.0</v>
      </c>
      <c r="K628" s="26">
        <v>0.0</v>
      </c>
    </row>
    <row r="629" ht="15.75" customHeight="1">
      <c r="B629" s="26" t="s">
        <v>1560</v>
      </c>
      <c r="C629" s="26" t="s">
        <v>1561</v>
      </c>
      <c r="D629" s="26" t="s">
        <v>1415</v>
      </c>
      <c r="E629" s="26">
        <v>50.0</v>
      </c>
      <c r="F629" s="26">
        <v>0.0</v>
      </c>
      <c r="G629" s="26">
        <v>50.0</v>
      </c>
      <c r="H629" s="26">
        <v>0.0</v>
      </c>
      <c r="I629" s="26">
        <v>0.0</v>
      </c>
      <c r="J629" s="26">
        <v>50.0</v>
      </c>
      <c r="K629" s="26">
        <v>0.0</v>
      </c>
    </row>
    <row r="630" ht="15.75" customHeight="1">
      <c r="B630" s="26" t="s">
        <v>1562</v>
      </c>
      <c r="C630" s="26" t="s">
        <v>1563</v>
      </c>
      <c r="D630" s="26" t="s">
        <v>270</v>
      </c>
      <c r="E630" s="26">
        <v>250.0</v>
      </c>
      <c r="F630" s="26">
        <v>250.0</v>
      </c>
      <c r="G630" s="26">
        <v>0.0</v>
      </c>
      <c r="H630" s="26">
        <v>0.0</v>
      </c>
      <c r="I630" s="26">
        <v>0.0</v>
      </c>
      <c r="J630" s="26">
        <v>250.0</v>
      </c>
      <c r="K630" s="26">
        <v>0.0</v>
      </c>
    </row>
    <row r="631" ht="15.75" customHeight="1">
      <c r="E631" s="28">
        <f t="shared" ref="E631:G631" si="73">SUM(E621:E630)</f>
        <v>3780</v>
      </c>
      <c r="F631" s="28">
        <f t="shared" si="73"/>
        <v>2360</v>
      </c>
      <c r="G631" s="28">
        <f t="shared" si="73"/>
        <v>1420</v>
      </c>
      <c r="J631" s="28">
        <f>SUM(J621:J630)</f>
        <v>3780</v>
      </c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M1:Q1"/>
    <mergeCell ref="M116:Q116"/>
    <mergeCell ref="M210:Q210"/>
    <mergeCell ref="M304:Q30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